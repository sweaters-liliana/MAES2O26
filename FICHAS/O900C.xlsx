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OPTIMA\O900\"/>
    </mc:Choice>
  </mc:AlternateContent>
  <xr:revisionPtr revIDLastSave="0" documentId="13_ncr:1_{18796CB0-2B66-40CB-B7B8-31973620B4F8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FICHA" sheetId="1" r:id="rId1"/>
    <sheet name="DATA" sheetId="2" r:id="rId2"/>
    <sheet name="SOLICITUD" sheetId="3" r:id="rId3"/>
    <sheet name="Produccion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4" l="1"/>
  <c r="F16" i="4"/>
  <c r="F17" i="4"/>
  <c r="C21" i="4" l="1"/>
  <c r="D21" i="4"/>
  <c r="E21" i="4"/>
  <c r="F21" i="4" l="1"/>
  <c r="S41" i="4"/>
  <c r="R41" i="4"/>
  <c r="Q41" i="4"/>
  <c r="L41" i="4"/>
  <c r="K41" i="4"/>
  <c r="J41" i="4"/>
  <c r="E41" i="4"/>
  <c r="D41" i="4"/>
  <c r="C41" i="4"/>
  <c r="M40" i="4"/>
  <c r="F40" i="4"/>
  <c r="M39" i="4"/>
  <c r="F39" i="4"/>
  <c r="M38" i="4"/>
  <c r="F38" i="4"/>
  <c r="M37" i="4"/>
  <c r="M36" i="4"/>
  <c r="P35" i="4"/>
  <c r="P36" i="4" s="1"/>
  <c r="P37" i="4" s="1"/>
  <c r="P38" i="4" s="1"/>
  <c r="P39" i="4" s="1"/>
  <c r="P40" i="4" s="1"/>
  <c r="M35" i="4"/>
  <c r="F35" i="4"/>
  <c r="M34" i="4"/>
  <c r="F34" i="4"/>
  <c r="M33" i="4"/>
  <c r="F33" i="4"/>
  <c r="M32" i="4"/>
  <c r="F32" i="4"/>
  <c r="F41" i="4" l="1"/>
  <c r="M41" i="4"/>
  <c r="M9" i="4"/>
  <c r="M11" i="4"/>
  <c r="M12" i="4"/>
  <c r="M13" i="4"/>
  <c r="M14" i="4"/>
  <c r="M15" i="4"/>
  <c r="M16" i="4"/>
  <c r="P11" i="4"/>
  <c r="P12" i="4" s="1"/>
  <c r="P13" i="4" s="1"/>
  <c r="P14" i="4" s="1"/>
  <c r="P15" i="4" s="1"/>
  <c r="P16" i="4" s="1"/>
  <c r="S17" i="4"/>
  <c r="R17" i="4"/>
  <c r="Q17" i="4"/>
  <c r="T16" i="4"/>
  <c r="T15" i="4"/>
  <c r="T14" i="4"/>
  <c r="T11" i="4"/>
  <c r="T10" i="4"/>
  <c r="T9" i="4"/>
  <c r="T8" i="4"/>
  <c r="L17" i="4"/>
  <c r="K17" i="4"/>
  <c r="J17" i="4"/>
  <c r="M10" i="4"/>
  <c r="M8" i="4"/>
  <c r="F14" i="4"/>
  <c r="F11" i="4"/>
  <c r="F10" i="4"/>
  <c r="F9" i="4"/>
  <c r="F8" i="4"/>
  <c r="N17" i="2"/>
  <c r="M17" i="2"/>
  <c r="L17" i="2"/>
  <c r="O8" i="2"/>
  <c r="T17" i="4" l="1"/>
  <c r="M17" i="4"/>
  <c r="A31" i="3"/>
  <c r="A27" i="3"/>
  <c r="A13" i="3"/>
  <c r="D15" i="2"/>
  <c r="C15" i="2"/>
  <c r="B15" i="2"/>
  <c r="E11" i="2"/>
  <c r="B13" i="2"/>
  <c r="D13" i="2"/>
  <c r="C13" i="2"/>
  <c r="M14" i="1"/>
  <c r="J14" i="1"/>
  <c r="G14" i="1"/>
  <c r="A8" i="3" l="1"/>
  <c r="A7" i="3"/>
  <c r="A9" i="3" s="1"/>
  <c r="E15" i="2"/>
  <c r="E13" i="2"/>
</calcChain>
</file>

<file path=xl/sharedStrings.xml><?xml version="1.0" encoding="utf-8"?>
<sst xmlns="http://schemas.openxmlformats.org/spreadsheetml/2006/main" count="267" uniqueCount="94">
  <si>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</si>
  <si>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</si>
  <si>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</si>
  <si>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</si>
  <si>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</si>
  <si>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</si>
  <si>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</si>
  <si>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</si>
  <si>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</si>
  <si>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</si>
  <si>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</si>
  <si>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</si>
  <si>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</si>
  <si>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MEDIANA</t>
  </si>
  <si>
    <t>70/68</t>
  </si>
  <si>
    <t>ENHEBRADO</t>
  </si>
  <si>
    <t>CHICA</t>
  </si>
  <si>
    <t>GRANDE</t>
  </si>
  <si>
    <t>-</t>
  </si>
  <si>
    <t>CODIGOS</t>
  </si>
  <si>
    <t>TIEMPOS</t>
  </si>
  <si>
    <t>CUERPO/MANGA</t>
  </si>
  <si>
    <t>BLUSA CUELLO CUADRADO MANGA CORTA</t>
  </si>
  <si>
    <t>O900C37M</t>
  </si>
  <si>
    <t>O900C38M</t>
  </si>
  <si>
    <t>O900C39G</t>
  </si>
  <si>
    <t>C900C28M</t>
  </si>
  <si>
    <t>O900C40G</t>
  </si>
  <si>
    <t>C900C35G</t>
  </si>
  <si>
    <t>O900C30C</t>
  </si>
  <si>
    <t>O900C31C</t>
  </si>
  <si>
    <t>20/70/68</t>
  </si>
  <si>
    <t>TIPO DE MAQUINA</t>
  </si>
  <si>
    <t>CIXING</t>
  </si>
  <si>
    <t>SIS.</t>
  </si>
  <si>
    <t>#3</t>
  </si>
  <si>
    <t>#2</t>
  </si>
  <si>
    <t>#5</t>
  </si>
  <si>
    <t>#6</t>
  </si>
  <si>
    <t>REMATE</t>
  </si>
  <si>
    <t>GUATEMALA</t>
  </si>
  <si>
    <t>NO LLEVA</t>
  </si>
  <si>
    <t>EVO</t>
  </si>
  <si>
    <t>SANTONI TOP2V</t>
  </si>
  <si>
    <t>(BLUSA Y MANGA)</t>
  </si>
  <si>
    <t>PESO + 10%: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</si>
  <si>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</si>
  <si>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LICRA  YUKI</t>
  </si>
  <si>
    <t>+</t>
  </si>
  <si>
    <t>PIEZAS</t>
  </si>
  <si>
    <t>KILOS</t>
  </si>
  <si>
    <t>TORSION</t>
  </si>
  <si>
    <t>S</t>
  </si>
  <si>
    <t>Z</t>
  </si>
  <si>
    <t>DESCRIPCION</t>
  </si>
  <si>
    <t>Likra YUKI 20/70/68</t>
  </si>
  <si>
    <t>O900CC</t>
  </si>
  <si>
    <t>MODELO</t>
  </si>
  <si>
    <t>PZAS</t>
  </si>
  <si>
    <t>PESO</t>
  </si>
  <si>
    <t>CH</t>
  </si>
  <si>
    <t>M</t>
  </si>
  <si>
    <t>G</t>
  </si>
  <si>
    <t>EG</t>
  </si>
  <si>
    <t>REQUISICION HILATURA LIKRA</t>
  </si>
  <si>
    <t>NOTA</t>
  </si>
  <si>
    <t>J</t>
  </si>
  <si>
    <t>Sweters Liliana S.A. de C.V.</t>
  </si>
  <si>
    <t>CLIENTE</t>
  </si>
  <si>
    <t>OPTIMA</t>
  </si>
  <si>
    <t>Piezas</t>
  </si>
  <si>
    <t>X Hr</t>
  </si>
  <si>
    <t>x 12hrs</t>
  </si>
  <si>
    <t>Lunes</t>
  </si>
  <si>
    <t>pedido</t>
  </si>
  <si>
    <t>Jueves</t>
  </si>
  <si>
    <t>Viernes</t>
  </si>
  <si>
    <t>Sábado</t>
  </si>
  <si>
    <t>Domingo</t>
  </si>
  <si>
    <t>Martes</t>
  </si>
  <si>
    <t>Miércoles</t>
  </si>
  <si>
    <t>BLANCO</t>
  </si>
  <si>
    <t>NEGRO</t>
  </si>
  <si>
    <t>OLIVO</t>
  </si>
  <si>
    <t>25 AL 30 AGOSTO</t>
  </si>
  <si>
    <t>x 16hrs</t>
  </si>
  <si>
    <t>lunes</t>
  </si>
  <si>
    <t>miercoles</t>
  </si>
  <si>
    <t>jueves</t>
  </si>
  <si>
    <t>viernes</t>
  </si>
  <si>
    <t>sábado</t>
  </si>
  <si>
    <t>domingo</t>
  </si>
  <si>
    <t xml:space="preserve">Lunes </t>
  </si>
  <si>
    <t>1 AL 10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</si>
</sst>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67" formatCode="[$-F800]dddd\,\ mmmm\ dd\,\ yyyy"/>
  </numFmts>
  <fonts count="5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2"/>
      <color rgb="FFFFFF00"/>
      <name val="Consolas"/>
      <family val="3"/>
    </font>
    <font>
      <sz val="11"/>
      <color rgb="FF000000"/>
      <name val="Consolas"/>
      <family val="3"/>
      <charset val="1"/>
    </font>
    <font>
      <sz val="20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20"/>
      <color rgb="FFFFFF00"/>
      <name val="Consolas"/>
      <family val="3"/>
    </font>
    <font>
      <b/>
      <sz val="18"/>
      <color theme="0" tint="-4.9989318521683403E-2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16"/>
      <color theme="0"/>
      <name val="Consolas"/>
      <family val="3"/>
    </font>
    <font>
      <b/>
      <sz val="14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6"/>
      <color rgb="FF000000"/>
      <name val="Arial Black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rgb="FFFFFFFF"/>
      <name val="Calibri"/>
      <family val="2"/>
    </font>
    <font>
      <b/>
      <sz val="20"/>
      <color rgb="FFFFFFFF"/>
      <name val="Arial Black"/>
      <family val="2"/>
    </font>
    <font>
      <b/>
      <sz val="22"/>
      <color rgb="FF005E00"/>
      <name val="Calibri"/>
      <family val="2"/>
    </font>
    <font>
      <sz val="14"/>
      <color theme="1"/>
      <name val="Arial Black"/>
      <family val="2"/>
    </font>
    <font>
      <sz val="18"/>
      <color theme="1"/>
      <name val="Arial Black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Bernard MT Condensed"/>
      <family val="1"/>
    </font>
    <font>
      <b/>
      <sz val="16"/>
      <color theme="1"/>
      <name val="Arial"/>
      <family val="2"/>
    </font>
    <font>
      <b/>
      <sz val="26"/>
      <color theme="1"/>
      <name val="Arial"/>
      <family val="2"/>
    </font>
    <font>
      <b/>
      <sz val="16"/>
      <color theme="0"/>
      <name val="Arial"/>
      <family val="2"/>
    </font>
    <font>
      <b/>
      <i/>
      <sz val="20"/>
      <color theme="1"/>
      <name val="Calibri"/>
      <family val="2"/>
    </font>
    <font>
      <b/>
      <sz val="16"/>
      <color rgb="FF002060"/>
      <name val="Calibri"/>
      <family val="2"/>
    </font>
    <font>
      <b/>
      <sz val="16"/>
      <color rgb="FFC00000"/>
      <name val="Calibri"/>
      <family val="2"/>
    </font>
    <font>
      <sz val="18"/>
      <color theme="0"/>
      <name val="Bernard MT Condensed"/>
      <family val="1"/>
    </font>
    <font>
      <sz val="14"/>
      <color theme="0"/>
      <name val="Bernard MT Condensed"/>
      <family val="1"/>
    </font>
    <font>
      <sz val="14"/>
      <color rgb="FF000000"/>
      <name val="Consolas"/>
      <family val="3"/>
      <charset val="1"/>
    </font>
    <font>
      <sz val="18"/>
      <color theme="0"/>
      <name val="Consolas"/>
      <family val="3"/>
    </font>
    <font>
      <b/>
      <sz val="18"/>
      <color theme="0"/>
      <name val="Consolas"/>
      <family val="3"/>
    </font>
    <font>
      <b/>
      <sz val="18"/>
      <color rgb="FF000000"/>
      <name val="Consolas"/>
      <family val="3"/>
    </font>
    <font>
      <sz val="18"/>
      <color theme="1"/>
      <name val="Consolas"/>
      <family val="3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5" tint="0.39997558519241921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4"/>
        <bgColor rgb="FFFFFFCC"/>
      </patternFill>
    </fill>
    <fill>
      <patternFill patternType="solid">
        <fgColor rgb="FF002060"/>
        <bgColor rgb="FFFFFFCC"/>
      </patternFill>
    </fill>
    <fill>
      <patternFill patternType="solid">
        <fgColor theme="1" tint="0.34998626667073579"/>
        <bgColor rgb="FFFFFFCC"/>
      </patternFill>
    </fill>
    <fill>
      <patternFill patternType="solid">
        <fgColor theme="9" tint="-0.499984740745262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rgb="FF29B95C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rgb="FFFFFFCC"/>
      </patternFill>
    </fill>
    <fill>
      <patternFill patternType="solid">
        <fgColor rgb="FF666633"/>
        <bgColor rgb="FFFFFFCC"/>
      </patternFill>
    </fill>
    <fill>
      <patternFill patternType="solid">
        <fgColor theme="1"/>
        <bgColor rgb="FFFFFFCC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5" tint="-0.499984740745262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46">
    <xf numFmtId="0" fontId="0" fillId="0" borderId="0" xfId="0"/>
    <xf numFmtId="0" fontId="1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45" fontId="8" fillId="8" borderId="9" xfId="0" applyNumberFormat="1" applyFont="1" applyFill="1" applyBorder="1" applyAlignment="1">
      <alignment horizontal="center" vertical="center" wrapText="1"/>
    </xf>
    <xf numFmtId="0" fontId="8" fillId="9" borderId="22" xfId="0" applyFont="1" applyFill="1" applyBorder="1" applyAlignment="1">
      <alignment horizontal="center" vertical="center" wrapText="1"/>
    </xf>
    <xf numFmtId="45" fontId="8" fillId="9" borderId="22" xfId="0" applyNumberFormat="1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45" fontId="8" fillId="10" borderId="3" xfId="0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45" fontId="8" fillId="11" borderId="3" xfId="0" applyNumberFormat="1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13" fillId="13" borderId="22" xfId="0" applyFont="1" applyFill="1" applyBorder="1" applyAlignment="1">
      <alignment horizontal="center" vertical="center" wrapText="1"/>
    </xf>
    <xf numFmtId="45" fontId="13" fillId="13" borderId="22" xfId="0" applyNumberFormat="1" applyFont="1" applyFill="1" applyBorder="1" applyAlignment="1">
      <alignment horizontal="center" vertical="center" wrapText="1"/>
    </xf>
    <xf numFmtId="0" fontId="13" fillId="14" borderId="22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45" fontId="13" fillId="15" borderId="9" xfId="0" applyNumberFormat="1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167" fontId="35" fillId="0" borderId="0" xfId="0" applyNumberFormat="1" applyFont="1" applyAlignment="1">
      <alignment horizontal="center" vertical="center"/>
    </xf>
    <xf numFmtId="2" fontId="26" fillId="0" borderId="28" xfId="0" applyNumberFormat="1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5" fontId="34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37" fillId="0" borderId="31" xfId="0" applyFont="1" applyBorder="1" applyAlignment="1">
      <alignment horizontal="right" vertical="center"/>
    </xf>
    <xf numFmtId="0" fontId="37" fillId="0" borderId="32" xfId="0" applyFont="1" applyBorder="1" applyAlignment="1">
      <alignment horizontal="left" vertical="center"/>
    </xf>
    <xf numFmtId="0" fontId="25" fillId="22" borderId="0" xfId="0" applyFont="1" applyFill="1"/>
    <xf numFmtId="0" fontId="25" fillId="22" borderId="0" xfId="0" applyFont="1" applyFill="1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5" fontId="8" fillId="2" borderId="28" xfId="0" applyNumberFormat="1" applyFont="1" applyFill="1" applyBorder="1" applyAlignment="1">
      <alignment horizontal="center" vertical="center" wrapText="1"/>
    </xf>
    <xf numFmtId="45" fontId="8" fillId="12" borderId="28" xfId="0" applyNumberFormat="1" applyFont="1" applyFill="1" applyBorder="1" applyAlignment="1">
      <alignment horizontal="center" vertical="center" wrapText="1"/>
    </xf>
    <xf numFmtId="45" fontId="13" fillId="14" borderId="28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7" fillId="4" borderId="35" xfId="0" applyFont="1" applyFill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/>
    </xf>
    <xf numFmtId="0" fontId="43" fillId="23" borderId="0" xfId="0" applyFont="1" applyFill="1" applyAlignment="1">
      <alignment horizontal="center"/>
    </xf>
    <xf numFmtId="0" fontId="44" fillId="23" borderId="0" xfId="0" applyFont="1" applyFill="1" applyAlignment="1">
      <alignment horizontal="center" vertical="center"/>
    </xf>
    <xf numFmtId="0" fontId="45" fillId="8" borderId="9" xfId="0" applyFont="1" applyFill="1" applyBorder="1" applyAlignment="1">
      <alignment horizontal="center" vertical="center" wrapText="1"/>
    </xf>
    <xf numFmtId="0" fontId="45" fillId="10" borderId="3" xfId="0" applyFont="1" applyFill="1" applyBorder="1" applyAlignment="1">
      <alignment horizontal="center" vertical="center" wrapText="1"/>
    </xf>
    <xf numFmtId="0" fontId="45" fillId="9" borderId="22" xfId="0" applyFont="1" applyFill="1" applyBorder="1" applyAlignment="1">
      <alignment horizontal="center" vertical="center" wrapText="1"/>
    </xf>
    <xf numFmtId="16" fontId="25" fillId="0" borderId="0" xfId="0" applyNumberFormat="1" applyFont="1" applyAlignment="1">
      <alignment horizontal="center" vertical="center"/>
    </xf>
    <xf numFmtId="0" fontId="41" fillId="24" borderId="28" xfId="0" applyFont="1" applyFill="1" applyBorder="1" applyAlignment="1">
      <alignment horizontal="center" vertical="center"/>
    </xf>
    <xf numFmtId="0" fontId="42" fillId="23" borderId="28" xfId="0" applyFont="1" applyFill="1" applyBorder="1" applyAlignment="1">
      <alignment horizontal="center" vertical="center"/>
    </xf>
    <xf numFmtId="0" fontId="41" fillId="23" borderId="28" xfId="0" applyFont="1" applyFill="1" applyBorder="1" applyAlignment="1">
      <alignment horizontal="center" vertical="center"/>
    </xf>
    <xf numFmtId="0" fontId="41" fillId="25" borderId="28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45" fillId="3" borderId="22" xfId="0" applyFont="1" applyFill="1" applyBorder="1" applyAlignment="1">
      <alignment horizontal="center" vertical="center" wrapText="1"/>
    </xf>
    <xf numFmtId="45" fontId="8" fillId="3" borderId="9" xfId="0" applyNumberFormat="1" applyFont="1" applyFill="1" applyBorder="1" applyAlignment="1">
      <alignment horizontal="center" vertical="center" wrapText="1"/>
    </xf>
    <xf numFmtId="45" fontId="8" fillId="3" borderId="3" xfId="0" applyNumberFormat="1" applyFont="1" applyFill="1" applyBorder="1" applyAlignment="1">
      <alignment horizontal="center" vertical="center" wrapText="1"/>
    </xf>
    <xf numFmtId="45" fontId="8" fillId="3" borderId="22" xfId="0" applyNumberFormat="1" applyFont="1" applyFill="1" applyBorder="1" applyAlignment="1">
      <alignment horizontal="center" vertical="center" wrapText="1"/>
    </xf>
    <xf numFmtId="45" fontId="49" fillId="3" borderId="9" xfId="0" applyNumberFormat="1" applyFont="1" applyFill="1" applyBorder="1" applyAlignment="1">
      <alignment horizontal="center" vertical="center" wrapText="1"/>
    </xf>
    <xf numFmtId="45" fontId="49" fillId="3" borderId="3" xfId="0" applyNumberFormat="1" applyFont="1" applyFill="1" applyBorder="1" applyAlignment="1">
      <alignment horizontal="center" vertical="center" wrapText="1"/>
    </xf>
    <xf numFmtId="45" fontId="49" fillId="3" borderId="22" xfId="0" applyNumberFormat="1" applyFont="1" applyFill="1" applyBorder="1" applyAlignment="1">
      <alignment horizontal="center" vertical="center" wrapText="1"/>
    </xf>
    <xf numFmtId="45" fontId="8" fillId="29" borderId="9" xfId="0" applyNumberFormat="1" applyFont="1" applyFill="1" applyBorder="1" applyAlignment="1">
      <alignment horizontal="center" vertical="center" wrapText="1"/>
    </xf>
    <xf numFmtId="45" fontId="8" fillId="29" borderId="3" xfId="0" applyNumberFormat="1" applyFont="1" applyFill="1" applyBorder="1" applyAlignment="1">
      <alignment horizontal="center" vertical="center" wrapText="1"/>
    </xf>
    <xf numFmtId="45" fontId="8" fillId="29" borderId="22" xfId="0" applyNumberFormat="1" applyFont="1" applyFill="1" applyBorder="1" applyAlignment="1">
      <alignment horizontal="center" vertical="center" wrapText="1"/>
    </xf>
    <xf numFmtId="0" fontId="42" fillId="25" borderId="2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1" fillId="30" borderId="28" xfId="0" applyFont="1" applyFill="1" applyBorder="1" applyAlignment="1">
      <alignment horizontal="center" vertical="center"/>
    </xf>
    <xf numFmtId="0" fontId="28" fillId="25" borderId="28" xfId="0" applyFont="1" applyFill="1" applyBorder="1" applyAlignment="1">
      <alignment horizontal="center" vertical="center"/>
    </xf>
    <xf numFmtId="0" fontId="41" fillId="25" borderId="33" xfId="0" applyFont="1" applyFill="1" applyBorder="1" applyAlignment="1">
      <alignment horizontal="center" vertical="center"/>
    </xf>
    <xf numFmtId="0" fontId="44" fillId="25" borderId="28" xfId="0" applyFont="1" applyFill="1" applyBorder="1" applyAlignment="1">
      <alignment horizontal="center" vertical="center"/>
    </xf>
    <xf numFmtId="0" fontId="0" fillId="0" borderId="28" xfId="0" applyBorder="1"/>
    <xf numFmtId="0" fontId="20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15" fillId="17" borderId="19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 wrapText="1"/>
    </xf>
    <xf numFmtId="0" fontId="15" fillId="17" borderId="11" xfId="0" applyFont="1" applyFill="1" applyBorder="1" applyAlignment="1">
      <alignment horizontal="center" vertical="center" wrapText="1"/>
    </xf>
    <xf numFmtId="0" fontId="15" fillId="17" borderId="7" xfId="0" applyFont="1" applyFill="1" applyBorder="1" applyAlignment="1">
      <alignment horizontal="center" vertical="center" wrapText="1"/>
    </xf>
    <xf numFmtId="0" fontId="15" fillId="18" borderId="9" xfId="0" applyFont="1" applyFill="1" applyBorder="1" applyAlignment="1">
      <alignment horizontal="center" vertical="center" wrapText="1"/>
    </xf>
    <xf numFmtId="0" fontId="15" fillId="18" borderId="4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8" borderId="10" xfId="0" applyFont="1" applyFill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15" fillId="18" borderId="8" xfId="0" applyFont="1" applyFill="1" applyBorder="1" applyAlignment="1">
      <alignment horizontal="center" vertical="center" wrapText="1"/>
    </xf>
    <xf numFmtId="0" fontId="18" fillId="19" borderId="9" xfId="0" applyFont="1" applyFill="1" applyBorder="1" applyAlignment="1">
      <alignment horizontal="center" vertical="center" wrapText="1"/>
    </xf>
    <xf numFmtId="0" fontId="18" fillId="19" borderId="12" xfId="0" applyFont="1" applyFill="1" applyBorder="1" applyAlignment="1">
      <alignment horizontal="center" vertical="center" wrapText="1"/>
    </xf>
    <xf numFmtId="0" fontId="18" fillId="19" borderId="10" xfId="0" applyFont="1" applyFill="1" applyBorder="1" applyAlignment="1">
      <alignment horizontal="center" vertical="center" wrapText="1"/>
    </xf>
    <xf numFmtId="0" fontId="18" fillId="19" borderId="13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27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8" fillId="16" borderId="9" xfId="0" applyFont="1" applyFill="1" applyBorder="1" applyAlignment="1">
      <alignment horizontal="center" vertical="center" wrapText="1"/>
    </xf>
    <xf numFmtId="0" fontId="18" fillId="16" borderId="12" xfId="0" applyFont="1" applyFill="1" applyBorder="1" applyAlignment="1">
      <alignment horizontal="center" vertical="center" wrapText="1"/>
    </xf>
    <xf numFmtId="0" fontId="18" fillId="16" borderId="10" xfId="0" applyFont="1" applyFill="1" applyBorder="1" applyAlignment="1">
      <alignment horizontal="center" vertical="center" wrapText="1"/>
    </xf>
    <xf numFmtId="0" fontId="18" fillId="16" borderId="13" xfId="0" applyFont="1" applyFill="1" applyBorder="1" applyAlignment="1">
      <alignment horizontal="center" vertical="center" wrapText="1"/>
    </xf>
    <xf numFmtId="0" fontId="15" fillId="18" borderId="26" xfId="0" applyFont="1" applyFill="1" applyBorder="1" applyAlignment="1">
      <alignment horizontal="center" vertical="center" wrapText="1"/>
    </xf>
    <xf numFmtId="0" fontId="15" fillId="18" borderId="27" xfId="0" applyFont="1" applyFill="1" applyBorder="1" applyAlignment="1">
      <alignment horizontal="center" vertical="center" wrapText="1"/>
    </xf>
    <xf numFmtId="164" fontId="3" fillId="6" borderId="9" xfId="0" applyNumberFormat="1" applyFont="1" applyFill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horizontal="center" vertical="center" wrapText="1"/>
    </xf>
    <xf numFmtId="164" fontId="3" fillId="6" borderId="10" xfId="0" applyNumberFormat="1" applyFont="1" applyFill="1" applyBorder="1" applyAlignment="1">
      <alignment horizontal="center" vertical="center" wrapText="1"/>
    </xf>
    <xf numFmtId="164" fontId="3" fillId="6" borderId="13" xfId="0" applyNumberFormat="1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right" vertical="center" wrapText="1"/>
    </xf>
    <xf numFmtId="0" fontId="19" fillId="5" borderId="2" xfId="0" applyFont="1" applyFill="1" applyBorder="1" applyAlignment="1">
      <alignment horizontal="right" vertical="center" wrapText="1"/>
    </xf>
    <xf numFmtId="0" fontId="19" fillId="5" borderId="23" xfId="0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45" fontId="9" fillId="3" borderId="3" xfId="0" applyNumberFormat="1" applyFont="1" applyFill="1" applyBorder="1" applyAlignment="1">
      <alignment horizontal="center" vertical="center" wrapText="1"/>
    </xf>
    <xf numFmtId="45" fontId="9" fillId="3" borderId="4" xfId="0" applyNumberFormat="1" applyFont="1" applyFill="1" applyBorder="1" applyAlignment="1">
      <alignment horizontal="center" vertical="center" wrapText="1"/>
    </xf>
    <xf numFmtId="45" fontId="9" fillId="3" borderId="6" xfId="0" applyNumberFormat="1" applyFont="1" applyFill="1" applyBorder="1" applyAlignment="1">
      <alignment horizontal="center" vertical="center" wrapText="1"/>
    </xf>
    <xf numFmtId="45" fontId="9" fillId="3" borderId="7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5" fontId="9" fillId="2" borderId="3" xfId="0" applyNumberFormat="1" applyFont="1" applyFill="1" applyBorder="1" applyAlignment="1">
      <alignment horizontal="center" vertical="center" wrapText="1"/>
    </xf>
    <xf numFmtId="45" fontId="9" fillId="2" borderId="4" xfId="0" applyNumberFormat="1" applyFont="1" applyFill="1" applyBorder="1" applyAlignment="1">
      <alignment horizontal="center" vertical="center" wrapText="1"/>
    </xf>
    <xf numFmtId="45" fontId="9" fillId="2" borderId="6" xfId="0" applyNumberFormat="1" applyFont="1" applyFill="1" applyBorder="1" applyAlignment="1">
      <alignment horizontal="center" vertical="center" wrapText="1"/>
    </xf>
    <xf numFmtId="45" fontId="9" fillId="2" borderId="7" xfId="0" applyNumberFormat="1" applyFont="1" applyFill="1" applyBorder="1" applyAlignment="1">
      <alignment horizontal="center" vertical="center" wrapText="1"/>
    </xf>
    <xf numFmtId="46" fontId="2" fillId="2" borderId="12" xfId="0" applyNumberFormat="1" applyFont="1" applyFill="1" applyBorder="1" applyAlignment="1">
      <alignment horizontal="center" vertical="center" wrapText="1"/>
    </xf>
    <xf numFmtId="46" fontId="2" fillId="2" borderId="13" xfId="0" applyNumberFormat="1" applyFont="1" applyFill="1" applyBorder="1" applyAlignment="1">
      <alignment horizontal="center" vertical="center" wrapText="1"/>
    </xf>
    <xf numFmtId="46" fontId="2" fillId="3" borderId="5" xfId="0" applyNumberFormat="1" applyFont="1" applyFill="1" applyBorder="1" applyAlignment="1">
      <alignment horizontal="center" vertical="center" wrapText="1"/>
    </xf>
    <xf numFmtId="46" fontId="2" fillId="3" borderId="8" xfId="0" applyNumberFormat="1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21" borderId="29" xfId="0" applyFont="1" applyFill="1" applyBorder="1" applyAlignment="1">
      <alignment horizontal="center" vertical="center"/>
    </xf>
    <xf numFmtId="0" fontId="39" fillId="21" borderId="30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167" fontId="35" fillId="0" borderId="0" xfId="0" applyNumberFormat="1" applyFont="1" applyAlignment="1">
      <alignment horizontal="center" vertical="center"/>
    </xf>
    <xf numFmtId="0" fontId="46" fillId="26" borderId="23" xfId="0" applyFont="1" applyFill="1" applyBorder="1" applyAlignment="1">
      <alignment horizontal="center" vertical="center" wrapText="1"/>
    </xf>
    <xf numFmtId="0" fontId="46" fillId="26" borderId="21" xfId="0" applyFont="1" applyFill="1" applyBorder="1" applyAlignment="1">
      <alignment horizontal="center" vertical="center" wrapText="1"/>
    </xf>
    <xf numFmtId="0" fontId="46" fillId="26" borderId="24" xfId="0" applyFont="1" applyFill="1" applyBorder="1" applyAlignment="1">
      <alignment horizontal="center" vertical="center" wrapText="1"/>
    </xf>
    <xf numFmtId="45" fontId="48" fillId="2" borderId="36" xfId="0" applyNumberFormat="1" applyFont="1" applyFill="1" applyBorder="1" applyAlignment="1">
      <alignment horizontal="center" vertical="center" wrapText="1"/>
    </xf>
    <xf numFmtId="45" fontId="48" fillId="2" borderId="37" xfId="0" applyNumberFormat="1" applyFont="1" applyFill="1" applyBorder="1" applyAlignment="1">
      <alignment horizontal="center" vertical="center" wrapText="1"/>
    </xf>
    <xf numFmtId="45" fontId="48" fillId="2" borderId="38" xfId="0" applyNumberFormat="1" applyFont="1" applyFill="1" applyBorder="1" applyAlignment="1">
      <alignment horizontal="center" vertical="center" wrapText="1"/>
    </xf>
    <xf numFmtId="45" fontId="47" fillId="27" borderId="36" xfId="0" applyNumberFormat="1" applyFont="1" applyFill="1" applyBorder="1" applyAlignment="1">
      <alignment horizontal="center" vertical="center" wrapText="1"/>
    </xf>
    <xf numFmtId="45" fontId="47" fillId="27" borderId="37" xfId="0" applyNumberFormat="1" applyFont="1" applyFill="1" applyBorder="1" applyAlignment="1">
      <alignment horizontal="center" vertical="center" wrapText="1"/>
    </xf>
    <xf numFmtId="45" fontId="47" fillId="27" borderId="38" xfId="0" applyNumberFormat="1" applyFont="1" applyFill="1" applyBorder="1" applyAlignment="1">
      <alignment horizontal="center" vertical="center" wrapText="1"/>
    </xf>
    <xf numFmtId="45" fontId="47" fillId="28" borderId="36" xfId="0" applyNumberFormat="1" applyFont="1" applyFill="1" applyBorder="1" applyAlignment="1">
      <alignment horizontal="center" vertical="center" wrapText="1"/>
    </xf>
    <xf numFmtId="45" fontId="47" fillId="28" borderId="37" xfId="0" applyNumberFormat="1" applyFont="1" applyFill="1" applyBorder="1" applyAlignment="1">
      <alignment horizontal="center" vertical="center" wrapText="1"/>
    </xf>
    <xf numFmtId="45" fontId="47" fillId="28" borderId="38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663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21980</xdr:colOff>
      <xdr:row>3</xdr:row>
      <xdr:rowOff>16851</xdr:rowOff>
    </xdr:from>
    <xdr:to>
      <xdr:col>3</xdr:col>
      <xdr:colOff>556147</xdr:colOff>
      <xdr:row>16</xdr:row>
      <xdr:rowOff>180975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98180" y="483576"/>
          <a:ext cx="1677167" cy="2602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0</xdr:rowOff>
    </xdr:from>
    <xdr:to>
      <xdr:col>1</xdr:col>
      <xdr:colOff>695102</xdr:colOff>
      <xdr:row>5</xdr:row>
      <xdr:rowOff>271624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twoCellAnchor>
  <xdr:oneCellAnchor>
    <xdr:from>
      <xdr:col>7</xdr:col>
      <xdr:colOff>381000</xdr:colOff>
      <xdr:row>0</xdr:row>
      <xdr:rowOff>0</xdr:rowOff>
    </xdr:from>
    <xdr:ext cx="1114202" cy="1728949"/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14</xdr:col>
      <xdr:colOff>381000</xdr:colOff>
      <xdr:row>0</xdr:row>
      <xdr:rowOff>0</xdr:rowOff>
    </xdr:from>
    <xdr:ext cx="1114202" cy="1728949"/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</xdr:row>
      <xdr:rowOff>0</xdr:rowOff>
    </xdr:from>
    <xdr:ext cx="1114202" cy="1728949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7</xdr:col>
      <xdr:colOff>381000</xdr:colOff>
      <xdr:row>24</xdr:row>
      <xdr:rowOff>0</xdr:rowOff>
    </xdr:from>
    <xdr:ext cx="1114202" cy="1728949"/>
    <xdr:pic>
      <xdr:nvPicPr>
        <xdr:cNvPr id="6" name="Imagen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55245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14</xdr:col>
      <xdr:colOff>381000</xdr:colOff>
      <xdr:row>24</xdr:row>
      <xdr:rowOff>0</xdr:rowOff>
    </xdr:from>
    <xdr:ext cx="1114202" cy="1728949"/>
    <xdr:pic>
      <xdr:nvPicPr>
        <xdr:cNvPr id="7" name="Imagen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10639425" y="0"/>
          <a:ext cx="1114202" cy="1728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8"/>
  <sheetViews>
    <sheetView showGridLines="0" zoomScaleNormal="100" workbookViewId="0">
      <selection activeCell="R22" sqref="R22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thickBot="1" x14ac:dyDescent="0.3">
      <c r="B2" s="150" t="s">
        <v>1</v>
      </c>
      <c r="C2" s="150"/>
      <c r="D2" s="150"/>
      <c r="E2" s="155" t="s">
        <v>2</v>
      </c>
      <c r="F2" s="156"/>
      <c r="G2" s="156"/>
      <c r="H2" s="156"/>
      <c r="I2" s="156"/>
      <c r="J2" s="156"/>
      <c r="K2" s="156"/>
      <c r="L2" s="156"/>
      <c r="M2" s="156"/>
      <c r="N2" s="156"/>
      <c r="O2" s="157"/>
    </row>
    <row r="3" spans="1:15" ht="15.95" customHeight="1" x14ac:dyDescent="0.25">
      <c r="B3" s="151"/>
      <c r="C3" s="151"/>
      <c r="D3" s="151"/>
      <c r="E3" s="158"/>
      <c r="F3" s="159"/>
      <c r="G3" s="159"/>
      <c r="H3" s="159"/>
      <c r="I3" s="159"/>
      <c r="J3" s="159"/>
      <c r="K3" s="159"/>
      <c r="L3" s="159"/>
      <c r="M3" s="159"/>
      <c r="N3" s="159"/>
      <c r="O3" s="160"/>
    </row>
    <row r="4" spans="1:15" ht="12.95" customHeight="1" x14ac:dyDescent="0.25">
      <c r="B4" s="98"/>
      <c r="C4" s="99"/>
      <c r="D4" s="100"/>
      <c r="E4" s="189" t="s">
        <v>22</v>
      </c>
      <c r="F4" s="190"/>
      <c r="G4" s="190"/>
      <c r="H4" s="190"/>
      <c r="I4" s="190"/>
      <c r="J4" s="190"/>
      <c r="K4" s="190"/>
      <c r="L4" s="190"/>
      <c r="M4" s="190"/>
      <c r="N4" s="190"/>
      <c r="O4" s="191"/>
    </row>
    <row r="5" spans="1:15" ht="12.95" customHeight="1" x14ac:dyDescent="0.25">
      <c r="B5" s="98"/>
      <c r="C5" s="99"/>
      <c r="D5" s="100"/>
      <c r="E5" s="189"/>
      <c r="F5" s="190"/>
      <c r="G5" s="190"/>
      <c r="H5" s="190"/>
      <c r="I5" s="190"/>
      <c r="J5" s="190"/>
      <c r="K5" s="190"/>
      <c r="L5" s="190"/>
      <c r="M5" s="190"/>
      <c r="N5" s="190"/>
      <c r="O5" s="191"/>
    </row>
    <row r="6" spans="1:15" ht="20.25" customHeight="1" x14ac:dyDescent="0.25">
      <c r="B6" s="98"/>
      <c r="C6" s="99"/>
      <c r="D6" s="100"/>
      <c r="E6" s="192" t="s">
        <v>44</v>
      </c>
      <c r="F6" s="193"/>
      <c r="G6" s="193"/>
      <c r="H6" s="193"/>
      <c r="I6" s="193"/>
      <c r="J6" s="193"/>
      <c r="K6" s="193"/>
      <c r="L6" s="193"/>
      <c r="M6" s="193"/>
      <c r="N6" s="193"/>
      <c r="O6" s="194"/>
    </row>
    <row r="7" spans="1:15" ht="4.5" customHeight="1" thickBot="1" x14ac:dyDescent="0.3">
      <c r="B7" s="98"/>
      <c r="C7" s="99"/>
      <c r="D7" s="100"/>
      <c r="E7" s="195"/>
      <c r="F7" s="196"/>
      <c r="G7" s="196"/>
      <c r="H7" s="196"/>
      <c r="I7" s="196"/>
      <c r="J7" s="196"/>
      <c r="K7" s="196"/>
      <c r="L7" s="196"/>
      <c r="M7" s="196"/>
      <c r="N7" s="196"/>
      <c r="O7" s="197"/>
    </row>
    <row r="8" spans="1:15" ht="15.95" customHeight="1" thickBot="1" x14ac:dyDescent="0.3">
      <c r="B8" s="98"/>
      <c r="C8" s="99"/>
      <c r="D8" s="100"/>
      <c r="E8" s="152" t="s">
        <v>4</v>
      </c>
      <c r="F8" s="152"/>
      <c r="G8" s="167" t="s">
        <v>16</v>
      </c>
      <c r="H8" s="168"/>
      <c r="I8" s="169"/>
      <c r="J8" s="167" t="s">
        <v>13</v>
      </c>
      <c r="K8" s="168"/>
      <c r="L8" s="169"/>
      <c r="M8" s="161" t="s">
        <v>17</v>
      </c>
      <c r="N8" s="162"/>
      <c r="O8" s="163"/>
    </row>
    <row r="9" spans="1:15" ht="15.95" customHeight="1" thickBot="1" x14ac:dyDescent="0.3">
      <c r="B9" s="98"/>
      <c r="C9" s="99"/>
      <c r="D9" s="100"/>
      <c r="E9" s="152"/>
      <c r="F9" s="152"/>
      <c r="G9" s="170"/>
      <c r="H9" s="171"/>
      <c r="I9" s="172"/>
      <c r="J9" s="170"/>
      <c r="K9" s="171"/>
      <c r="L9" s="172"/>
      <c r="M9" s="164"/>
      <c r="N9" s="165"/>
      <c r="O9" s="166"/>
    </row>
    <row r="10" spans="1:15" ht="15.95" customHeight="1" thickBot="1" x14ac:dyDescent="0.3">
      <c r="B10" s="98"/>
      <c r="C10" s="99"/>
      <c r="D10" s="100"/>
      <c r="E10" s="152" t="s">
        <v>3</v>
      </c>
      <c r="F10" s="152"/>
      <c r="G10" s="167" t="s">
        <v>21</v>
      </c>
      <c r="H10" s="168"/>
      <c r="I10" s="168"/>
      <c r="J10" s="168"/>
      <c r="K10" s="168"/>
      <c r="L10" s="168"/>
      <c r="M10" s="168"/>
      <c r="N10" s="168"/>
      <c r="O10" s="208"/>
    </row>
    <row r="11" spans="1:15" ht="15.95" customHeight="1" thickBot="1" x14ac:dyDescent="0.3">
      <c r="B11" s="98"/>
      <c r="C11" s="99"/>
      <c r="D11" s="100"/>
      <c r="E11" s="152"/>
      <c r="F11" s="152"/>
      <c r="G11" s="170"/>
      <c r="H11" s="171"/>
      <c r="I11" s="171"/>
      <c r="J11" s="171"/>
      <c r="K11" s="171"/>
      <c r="L11" s="171"/>
      <c r="M11" s="171"/>
      <c r="N11" s="171"/>
      <c r="O11" s="209"/>
    </row>
    <row r="12" spans="1:15" ht="15.95" customHeight="1" thickBot="1" x14ac:dyDescent="0.3">
      <c r="B12" s="98"/>
      <c r="C12" s="99"/>
      <c r="D12" s="100"/>
      <c r="E12" s="152" t="s">
        <v>5</v>
      </c>
      <c r="F12" s="152"/>
      <c r="G12" s="202" t="s">
        <v>29</v>
      </c>
      <c r="H12" s="203"/>
      <c r="I12" s="204"/>
      <c r="J12" s="202" t="s">
        <v>26</v>
      </c>
      <c r="K12" s="203"/>
      <c r="L12" s="204"/>
      <c r="M12" s="177" t="s">
        <v>28</v>
      </c>
      <c r="N12" s="178"/>
      <c r="O12" s="179"/>
    </row>
    <row r="13" spans="1:15" ht="15.95" customHeight="1" thickBot="1" x14ac:dyDescent="0.3">
      <c r="B13" s="98"/>
      <c r="C13" s="99"/>
      <c r="D13" s="100"/>
      <c r="E13" s="152"/>
      <c r="F13" s="152"/>
      <c r="G13" s="205"/>
      <c r="H13" s="206"/>
      <c r="I13" s="207"/>
      <c r="J13" s="205"/>
      <c r="K13" s="206"/>
      <c r="L13" s="207"/>
      <c r="M13" s="180"/>
      <c r="N13" s="181"/>
      <c r="O13" s="182"/>
    </row>
    <row r="14" spans="1:15" ht="15.95" customHeight="1" thickBot="1" x14ac:dyDescent="0.3">
      <c r="B14" s="98"/>
      <c r="C14" s="99"/>
      <c r="D14" s="100"/>
      <c r="E14" s="153" t="s">
        <v>45</v>
      </c>
      <c r="F14" s="154"/>
      <c r="G14" s="167">
        <f>158*110%</f>
        <v>173.8</v>
      </c>
      <c r="H14" s="168"/>
      <c r="I14" s="175" t="s">
        <v>6</v>
      </c>
      <c r="J14" s="167">
        <f>176*110%</f>
        <v>193.60000000000002</v>
      </c>
      <c r="K14" s="168"/>
      <c r="L14" s="175" t="s">
        <v>6</v>
      </c>
      <c r="M14" s="161">
        <f>189*110%</f>
        <v>207.9</v>
      </c>
      <c r="N14" s="162"/>
      <c r="O14" s="173" t="s">
        <v>6</v>
      </c>
    </row>
    <row r="15" spans="1:15" ht="15.95" customHeight="1" thickBot="1" x14ac:dyDescent="0.3">
      <c r="B15" s="98"/>
      <c r="C15" s="99"/>
      <c r="D15" s="100"/>
      <c r="E15" s="153"/>
      <c r="F15" s="154"/>
      <c r="G15" s="170"/>
      <c r="H15" s="171"/>
      <c r="I15" s="176"/>
      <c r="J15" s="170"/>
      <c r="K15" s="171"/>
      <c r="L15" s="176"/>
      <c r="M15" s="164"/>
      <c r="N15" s="165"/>
      <c r="O15" s="174"/>
    </row>
    <row r="16" spans="1:15" ht="15.95" customHeight="1" thickBot="1" x14ac:dyDescent="0.3">
      <c r="B16" s="98"/>
      <c r="C16" s="99"/>
      <c r="D16" s="100"/>
      <c r="E16" s="152" t="s">
        <v>7</v>
      </c>
      <c r="F16" s="152"/>
      <c r="G16" s="210">
        <v>4.5138888888888893E-3</v>
      </c>
      <c r="H16" s="211"/>
      <c r="I16" s="214" t="s">
        <v>8</v>
      </c>
      <c r="J16" s="210">
        <v>5.2662037037037035E-3</v>
      </c>
      <c r="K16" s="211"/>
      <c r="L16" s="214" t="s">
        <v>8</v>
      </c>
      <c r="M16" s="198">
        <v>3.2754629629629631E-3</v>
      </c>
      <c r="N16" s="199"/>
      <c r="O16" s="216" t="s">
        <v>8</v>
      </c>
    </row>
    <row r="17" spans="2:18" ht="15.95" customHeight="1" thickBot="1" x14ac:dyDescent="0.3">
      <c r="B17" s="101"/>
      <c r="C17" s="102"/>
      <c r="D17" s="103"/>
      <c r="E17" s="152"/>
      <c r="F17" s="152"/>
      <c r="G17" s="212"/>
      <c r="H17" s="213"/>
      <c r="I17" s="215"/>
      <c r="J17" s="212"/>
      <c r="K17" s="213"/>
      <c r="L17" s="215"/>
      <c r="M17" s="200"/>
      <c r="N17" s="201"/>
      <c r="O17" s="217"/>
    </row>
    <row r="18" spans="2:18" ht="15.95" customHeight="1" x14ac:dyDescent="0.25">
      <c r="B18" s="183" t="s">
        <v>15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5"/>
    </row>
    <row r="19" spans="2:18" ht="15.95" customHeight="1" thickBot="1" x14ac:dyDescent="0.3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8"/>
    </row>
    <row r="20" spans="2:18" ht="15.95" customHeight="1" x14ac:dyDescent="0.25">
      <c r="B20" s="218" t="s">
        <v>32</v>
      </c>
      <c r="C20" s="219"/>
      <c r="D20" s="219"/>
      <c r="E20" s="219"/>
      <c r="F20" s="219"/>
      <c r="G20" s="122" t="s">
        <v>33</v>
      </c>
      <c r="H20" s="94"/>
      <c r="I20" s="95"/>
      <c r="J20" s="122" t="s">
        <v>42</v>
      </c>
      <c r="K20" s="94"/>
      <c r="L20" s="95"/>
      <c r="M20" s="122" t="s">
        <v>43</v>
      </c>
      <c r="N20" s="94"/>
      <c r="O20" s="95"/>
    </row>
    <row r="21" spans="2:18" ht="29.25" customHeight="1" thickBot="1" x14ac:dyDescent="0.3">
      <c r="B21" s="220"/>
      <c r="C21" s="221"/>
      <c r="D21" s="221"/>
      <c r="E21" s="221"/>
      <c r="F21" s="221"/>
      <c r="G21" s="123"/>
      <c r="H21" s="96"/>
      <c r="I21" s="97"/>
      <c r="J21" s="123"/>
      <c r="K21" s="96"/>
      <c r="L21" s="97"/>
      <c r="M21" s="123"/>
      <c r="N21" s="96"/>
      <c r="O21" s="97"/>
    </row>
    <row r="22" spans="2:18" ht="15.95" customHeight="1" x14ac:dyDescent="0.25">
      <c r="B22" s="144" t="s">
        <v>12</v>
      </c>
      <c r="C22" s="145"/>
      <c r="D22" s="148" t="s">
        <v>9</v>
      </c>
      <c r="E22" s="148"/>
      <c r="F22" s="148"/>
      <c r="G22" s="92" t="s">
        <v>46</v>
      </c>
      <c r="H22" s="124" t="s">
        <v>34</v>
      </c>
      <c r="I22" s="125"/>
      <c r="J22" s="92" t="s">
        <v>46</v>
      </c>
      <c r="K22" s="124" t="s">
        <v>34</v>
      </c>
      <c r="L22" s="125"/>
      <c r="M22" s="92" t="s">
        <v>46</v>
      </c>
      <c r="N22" s="124" t="s">
        <v>34</v>
      </c>
      <c r="O22" s="125"/>
      <c r="R22" t="s">
        <v>48</v>
      </c>
    </row>
    <row r="23" spans="2:18" ht="15.75" customHeight="1" thickBot="1" x14ac:dyDescent="0.3">
      <c r="B23" s="146"/>
      <c r="C23" s="147"/>
      <c r="D23" s="149"/>
      <c r="E23" s="149"/>
      <c r="F23" s="149"/>
      <c r="G23" s="93"/>
      <c r="H23" s="126"/>
      <c r="I23" s="127"/>
      <c r="J23" s="93"/>
      <c r="K23" s="126"/>
      <c r="L23" s="127"/>
      <c r="M23" s="93"/>
      <c r="N23" s="126"/>
      <c r="O23" s="127"/>
    </row>
    <row r="24" spans="2:18" ht="15.95" customHeight="1" x14ac:dyDescent="0.25">
      <c r="B24" s="138">
        <v>0.54</v>
      </c>
      <c r="C24" s="139"/>
      <c r="D24" s="142" t="s">
        <v>47</v>
      </c>
      <c r="E24" s="143"/>
      <c r="F24" s="143"/>
      <c r="G24" s="128" t="s">
        <v>36</v>
      </c>
      <c r="H24" s="124" t="s">
        <v>10</v>
      </c>
      <c r="I24" s="125"/>
      <c r="J24" s="128" t="s">
        <v>36</v>
      </c>
      <c r="K24" s="124" t="s">
        <v>10</v>
      </c>
      <c r="L24" s="125"/>
      <c r="M24" s="128" t="s">
        <v>36</v>
      </c>
      <c r="N24" s="124" t="s">
        <v>10</v>
      </c>
      <c r="O24" s="125"/>
    </row>
    <row r="25" spans="2:18" ht="15.95" customHeight="1" thickBot="1" x14ac:dyDescent="0.3">
      <c r="B25" s="140"/>
      <c r="C25" s="141"/>
      <c r="D25" s="130" t="s">
        <v>31</v>
      </c>
      <c r="E25" s="131"/>
      <c r="F25" s="131"/>
      <c r="G25" s="129"/>
      <c r="H25" s="126"/>
      <c r="I25" s="127"/>
      <c r="J25" s="129"/>
      <c r="K25" s="126"/>
      <c r="L25" s="127"/>
      <c r="M25" s="129"/>
      <c r="N25" s="126"/>
      <c r="O25" s="127"/>
    </row>
    <row r="26" spans="2:18" ht="15.95" customHeight="1" x14ac:dyDescent="0.25">
      <c r="B26" s="138">
        <v>0.46</v>
      </c>
      <c r="C26" s="139"/>
      <c r="D26" s="142" t="s">
        <v>11</v>
      </c>
      <c r="E26" s="143"/>
      <c r="F26" s="143"/>
      <c r="G26" s="128" t="s">
        <v>37</v>
      </c>
      <c r="H26" s="124" t="s">
        <v>10</v>
      </c>
      <c r="I26" s="125"/>
      <c r="J26" s="128" t="s">
        <v>38</v>
      </c>
      <c r="K26" s="124" t="s">
        <v>10</v>
      </c>
      <c r="L26" s="125"/>
      <c r="M26" s="128" t="s">
        <v>38</v>
      </c>
      <c r="N26" s="124" t="s">
        <v>10</v>
      </c>
      <c r="O26" s="125"/>
    </row>
    <row r="27" spans="2:18" ht="15.95" customHeight="1" thickBot="1" x14ac:dyDescent="0.3">
      <c r="B27" s="140"/>
      <c r="C27" s="141"/>
      <c r="D27" s="130" t="s">
        <v>14</v>
      </c>
      <c r="E27" s="131"/>
      <c r="F27" s="131"/>
      <c r="G27" s="129"/>
      <c r="H27" s="126"/>
      <c r="I27" s="127"/>
      <c r="J27" s="129"/>
      <c r="K27" s="126"/>
      <c r="L27" s="127"/>
      <c r="M27" s="129"/>
      <c r="N27" s="126"/>
      <c r="O27" s="127"/>
    </row>
    <row r="28" spans="2:18" ht="15.75" customHeight="1" x14ac:dyDescent="0.25">
      <c r="B28" s="132" t="s">
        <v>39</v>
      </c>
      <c r="C28" s="133"/>
      <c r="D28" s="104" t="s">
        <v>40</v>
      </c>
      <c r="E28" s="105"/>
      <c r="F28" s="105"/>
      <c r="G28" s="108" t="s">
        <v>41</v>
      </c>
      <c r="H28" s="109"/>
      <c r="I28" s="110"/>
      <c r="J28" s="108" t="s">
        <v>41</v>
      </c>
      <c r="K28" s="109"/>
      <c r="L28" s="110"/>
      <c r="M28" s="136" t="s">
        <v>35</v>
      </c>
      <c r="N28" s="109" t="s">
        <v>38</v>
      </c>
      <c r="O28" s="110"/>
    </row>
    <row r="29" spans="2:18" ht="15.75" customHeight="1" thickBot="1" x14ac:dyDescent="0.3">
      <c r="B29" s="134"/>
      <c r="C29" s="135"/>
      <c r="D29" s="106"/>
      <c r="E29" s="107"/>
      <c r="F29" s="107"/>
      <c r="G29" s="111"/>
      <c r="H29" s="112"/>
      <c r="I29" s="113"/>
      <c r="J29" s="111"/>
      <c r="K29" s="112"/>
      <c r="L29" s="113"/>
      <c r="M29" s="137"/>
      <c r="N29" s="112"/>
      <c r="O29" s="113"/>
    </row>
    <row r="30" spans="2:18" ht="15.75" customHeight="1" x14ac:dyDescent="0.25">
      <c r="B30" s="114"/>
      <c r="C30" s="115"/>
      <c r="D30" s="118"/>
      <c r="E30" s="119"/>
      <c r="F30" s="119"/>
      <c r="G30" s="122"/>
      <c r="H30" s="94"/>
      <c r="I30" s="95"/>
      <c r="J30" s="92"/>
      <c r="K30" s="94"/>
      <c r="L30" s="95"/>
      <c r="M30" s="92"/>
      <c r="N30" s="94"/>
      <c r="O30" s="95"/>
    </row>
    <row r="31" spans="2:18" ht="15.75" customHeight="1" thickBot="1" x14ac:dyDescent="0.3">
      <c r="B31" s="116"/>
      <c r="C31" s="117"/>
      <c r="D31" s="120"/>
      <c r="E31" s="121"/>
      <c r="F31" s="121"/>
      <c r="G31" s="123"/>
      <c r="H31" s="96"/>
      <c r="I31" s="97"/>
      <c r="J31" s="93"/>
      <c r="K31" s="96"/>
      <c r="L31" s="97"/>
      <c r="M31" s="93"/>
      <c r="N31" s="96"/>
      <c r="O31" s="97"/>
    </row>
    <row r="32" spans="2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</sheetData>
  <mergeCells count="73">
    <mergeCell ref="B18:O19"/>
    <mergeCell ref="M20:O21"/>
    <mergeCell ref="E4:O5"/>
    <mergeCell ref="E6:O7"/>
    <mergeCell ref="M16:N17"/>
    <mergeCell ref="G12:I13"/>
    <mergeCell ref="J12:L13"/>
    <mergeCell ref="G10:O11"/>
    <mergeCell ref="G16:H17"/>
    <mergeCell ref="J16:K17"/>
    <mergeCell ref="E16:F17"/>
    <mergeCell ref="I16:I17"/>
    <mergeCell ref="O16:O17"/>
    <mergeCell ref="L16:L17"/>
    <mergeCell ref="B20:F21"/>
    <mergeCell ref="G20:I21"/>
    <mergeCell ref="B2:D3"/>
    <mergeCell ref="E8:F9"/>
    <mergeCell ref="E10:F11"/>
    <mergeCell ref="E12:F13"/>
    <mergeCell ref="E14:F15"/>
    <mergeCell ref="E2:O3"/>
    <mergeCell ref="M8:O9"/>
    <mergeCell ref="J8:L9"/>
    <mergeCell ref="O14:O15"/>
    <mergeCell ref="L14:L15"/>
    <mergeCell ref="G8:I9"/>
    <mergeCell ref="M12:O13"/>
    <mergeCell ref="G14:H15"/>
    <mergeCell ref="J14:K15"/>
    <mergeCell ref="M14:N15"/>
    <mergeCell ref="I14:I15"/>
    <mergeCell ref="J20:L21"/>
    <mergeCell ref="B22:C23"/>
    <mergeCell ref="D22:F23"/>
    <mergeCell ref="G22:G23"/>
    <mergeCell ref="H22:I23"/>
    <mergeCell ref="J22:J23"/>
    <mergeCell ref="K22:L23"/>
    <mergeCell ref="M22:M23"/>
    <mergeCell ref="N22:O23"/>
    <mergeCell ref="B24:C25"/>
    <mergeCell ref="D24:F24"/>
    <mergeCell ref="G24:G25"/>
    <mergeCell ref="H24:I25"/>
    <mergeCell ref="J24:J25"/>
    <mergeCell ref="K24:L25"/>
    <mergeCell ref="M24:M25"/>
    <mergeCell ref="N24:O25"/>
    <mergeCell ref="D25:F25"/>
    <mergeCell ref="M28:M29"/>
    <mergeCell ref="N28:O29"/>
    <mergeCell ref="B26:C27"/>
    <mergeCell ref="D26:F26"/>
    <mergeCell ref="G26:G27"/>
    <mergeCell ref="H26:I27"/>
    <mergeCell ref="J26:J27"/>
    <mergeCell ref="M30:M31"/>
    <mergeCell ref="N30:O31"/>
    <mergeCell ref="B4:D17"/>
    <mergeCell ref="D28:F29"/>
    <mergeCell ref="G28:I29"/>
    <mergeCell ref="J28:L29"/>
    <mergeCell ref="B30:C31"/>
    <mergeCell ref="D30:F31"/>
    <mergeCell ref="G30:I31"/>
    <mergeCell ref="J30:J31"/>
    <mergeCell ref="K30:L31"/>
    <mergeCell ref="K26:L27"/>
    <mergeCell ref="M26:M27"/>
    <mergeCell ref="N26:O27"/>
    <mergeCell ref="D27:F27"/>
    <mergeCell ref="B28:C29"/>
  </mergeCells>
  <dataValidations count="1">
    <dataValidation type="list" allowBlank="1" showInputMessage="1" showErrorMessage="1" sqref="O12:O13 L12:L13" xr:uid="{00000000-0002-0000-0000-000000000000}">
      <formula1>$B$5:$B$10</formula1>
    </dataValidation>
  </dataValidations>
  <printOptions horizontalCentered="1"/>
  <pageMargins left="0" right="0" top="0" bottom="0" header="0" footer="0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DATA!$B$5:$B$10</xm:f>
          </x14:formula1>
          <xm:sqref>G12:I13</xm:sqref>
        </x14:dataValidation>
        <x14:dataValidation type="list" allowBlank="1" showInputMessage="1" showErrorMessage="1" xr:uid="{00000000-0002-0000-0000-000003000000}">
          <x14:formula1>
            <xm:f>DATA!$C$5:$C$10</xm:f>
          </x14:formula1>
          <xm:sqref>J12:K13</xm:sqref>
        </x14:dataValidation>
        <x14:dataValidation type="list" allowBlank="1" showInputMessage="1" showErrorMessage="1" xr:uid="{00000000-0002-0000-0000-000004000000}">
          <x14:formula1>
            <xm:f>DATA!$D$5:$D$10</xm:f>
          </x14:formula1>
          <xm:sqref>M12:N13</xm:sqref>
        </x14:dataValidation>
        <x14:dataValidation type="list" allowBlank="1" showInputMessage="1" showErrorMessage="1" xr:uid="{00000000-0002-0000-0000-000005000000}">
          <x14:formula1>
            <xm:f>DATA!$M$4:$M$8</xm:f>
          </x14:formula1>
          <xm:sqref>J16:K17</xm:sqref>
        </x14:dataValidation>
        <x14:dataValidation type="list" allowBlank="1" showInputMessage="1" showErrorMessage="1" xr:uid="{00000000-0002-0000-0000-000006000000}">
          <x14:formula1>
            <xm:f>DATA!$N$4:$N$8</xm:f>
          </x14:formula1>
          <xm:sqref>M16:N17</xm:sqref>
        </x14:dataValidation>
        <x14:dataValidation type="list" allowBlank="1" showInputMessage="1" showErrorMessage="1" xr:uid="{00000000-0002-0000-0000-000007000000}">
          <x14:formula1>
            <xm:f>DATA!$L$4:$L$8</xm:f>
          </x14:formula1>
          <xm:sqref>G16:H17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topLeftCell="A5" workbookViewId="0">
      <selection activeCell="H16" sqref="H16"/>
    </sheetView>
  </sheetViews>
  <sheetFormatPr baseColWidth="10" defaultColWidth="11.42578125" defaultRowHeight="15" x14ac:dyDescent="0.25"/>
  <cols>
    <col min="2" max="4" width="16.42578125" bestFit="1" customWidth="1"/>
    <col min="5" max="5" width="17.28515625" customWidth="1"/>
    <col min="6" max="6" width="16.42578125" customWidth="1"/>
    <col min="8" max="8" width="10.85546875" bestFit="1" customWidth="1"/>
    <col min="9" max="9" width="14.5703125" bestFit="1" customWidth="1"/>
    <col min="10" max="10" width="8.5703125" bestFit="1" customWidth="1"/>
    <col min="11" max="11" width="11.85546875" bestFit="1" customWidth="1"/>
    <col min="12" max="12" width="14.140625" customWidth="1"/>
    <col min="13" max="13" width="15.85546875" customWidth="1"/>
    <col min="14" max="14" width="12.7109375" bestFit="1" customWidth="1"/>
  </cols>
  <sheetData>
    <row r="1" spans="1:15" ht="24" thickBot="1" x14ac:dyDescent="0.3">
      <c r="L1" s="4" t="s">
        <v>16</v>
      </c>
      <c r="M1" s="3" t="s">
        <v>13</v>
      </c>
      <c r="N1" s="5" t="s">
        <v>17</v>
      </c>
    </row>
    <row r="2" spans="1:15" ht="30" customHeight="1" thickBot="1" x14ac:dyDescent="0.3">
      <c r="B2" s="4" t="s">
        <v>16</v>
      </c>
      <c r="C2" s="3" t="s">
        <v>13</v>
      </c>
      <c r="D2" s="5" t="s">
        <v>17</v>
      </c>
      <c r="L2" s="222" t="s">
        <v>20</v>
      </c>
      <c r="M2" s="223"/>
      <c r="N2" s="224"/>
    </row>
    <row r="3" spans="1:15" ht="30" customHeight="1" thickBot="1" x14ac:dyDescent="0.3">
      <c r="B3" s="222" t="s">
        <v>19</v>
      </c>
      <c r="C3" s="223"/>
      <c r="D3" s="224"/>
      <c r="L3" s="65" t="s">
        <v>29</v>
      </c>
      <c r="M3" s="66" t="s">
        <v>26</v>
      </c>
      <c r="N3" s="67" t="s">
        <v>28</v>
      </c>
    </row>
    <row r="4" spans="1:15" ht="30" customHeight="1" thickBot="1" x14ac:dyDescent="0.3">
      <c r="B4" s="27">
        <v>0.17380000000000001</v>
      </c>
      <c r="C4" s="27">
        <v>0.193</v>
      </c>
      <c r="D4" s="27">
        <v>0.20699999999999999</v>
      </c>
      <c r="L4" s="12">
        <v>4.5138888888888893E-3</v>
      </c>
      <c r="M4" s="16">
        <v>5.2662037037037035E-3</v>
      </c>
      <c r="N4" s="14">
        <v>3.2754629629629631E-3</v>
      </c>
    </row>
    <row r="5" spans="1:15" ht="30" customHeight="1" thickBot="1" x14ac:dyDescent="0.3">
      <c r="B5" s="11" t="s">
        <v>29</v>
      </c>
      <c r="C5" s="15" t="s">
        <v>26</v>
      </c>
      <c r="D5" s="13" t="s">
        <v>28</v>
      </c>
      <c r="L5" s="24">
        <v>4.363425925925926E-3</v>
      </c>
      <c r="M5" s="18">
        <v>3.425925925925926E-3</v>
      </c>
      <c r="N5" s="21">
        <v>3.2060185185185191E-3</v>
      </c>
    </row>
    <row r="6" spans="1:15" ht="30" customHeight="1" thickBot="1" x14ac:dyDescent="0.3">
      <c r="B6" s="23" t="s">
        <v>30</v>
      </c>
      <c r="C6" s="17" t="s">
        <v>23</v>
      </c>
      <c r="D6" s="20" t="s">
        <v>25</v>
      </c>
      <c r="L6" s="55" t="s">
        <v>18</v>
      </c>
      <c r="M6" s="56">
        <v>3.3912037037037036E-3</v>
      </c>
      <c r="N6" s="57">
        <v>3.2986111111111111E-3</v>
      </c>
    </row>
    <row r="7" spans="1:15" ht="30" customHeight="1" thickBot="1" x14ac:dyDescent="0.3">
      <c r="B7" s="6" t="s">
        <v>18</v>
      </c>
      <c r="C7" s="19" t="s">
        <v>24</v>
      </c>
      <c r="D7" s="22" t="s">
        <v>27</v>
      </c>
      <c r="K7" s="58" t="s">
        <v>71</v>
      </c>
      <c r="L7" s="30">
        <v>8.5</v>
      </c>
      <c r="M7" s="30">
        <v>7.5</v>
      </c>
      <c r="N7" s="30">
        <v>12</v>
      </c>
    </row>
    <row r="8" spans="1:15" ht="30" customHeight="1" thickBot="1" x14ac:dyDescent="0.4">
      <c r="B8" s="6" t="s">
        <v>18</v>
      </c>
      <c r="C8" s="2" t="s">
        <v>18</v>
      </c>
      <c r="D8" s="7" t="s">
        <v>18</v>
      </c>
      <c r="E8" s="26" t="s">
        <v>47</v>
      </c>
      <c r="K8" s="58" t="s">
        <v>72</v>
      </c>
      <c r="L8" s="59">
        <v>93</v>
      </c>
      <c r="M8" s="59">
        <v>90</v>
      </c>
      <c r="N8" s="59">
        <v>144</v>
      </c>
      <c r="O8" s="60">
        <f>SUM(L8:N8)</f>
        <v>327</v>
      </c>
    </row>
    <row r="9" spans="1:15" ht="30" customHeight="1" thickBot="1" x14ac:dyDescent="0.35">
      <c r="B9" s="6"/>
      <c r="C9" s="53"/>
      <c r="D9" s="7"/>
      <c r="E9" s="61"/>
      <c r="K9" s="58" t="s">
        <v>74</v>
      </c>
      <c r="L9" s="63">
        <v>328</v>
      </c>
      <c r="M9" s="63">
        <v>345</v>
      </c>
      <c r="N9" s="63">
        <v>408</v>
      </c>
      <c r="O9" s="60"/>
    </row>
    <row r="10" spans="1:15" ht="30" customHeight="1" thickBot="1" x14ac:dyDescent="0.3">
      <c r="B10" s="8" t="s">
        <v>18</v>
      </c>
      <c r="C10" s="9" t="s">
        <v>18</v>
      </c>
      <c r="D10" s="10" t="s">
        <v>18</v>
      </c>
      <c r="E10" s="25" t="s">
        <v>31</v>
      </c>
      <c r="J10" s="28" t="s">
        <v>75</v>
      </c>
      <c r="K10" s="68">
        <v>45855</v>
      </c>
      <c r="L10" s="62">
        <v>100</v>
      </c>
      <c r="M10" s="62"/>
      <c r="N10" s="62">
        <v>85</v>
      </c>
    </row>
    <row r="11" spans="1:15" ht="30" customHeight="1" x14ac:dyDescent="0.25">
      <c r="A11" s="32" t="s">
        <v>49</v>
      </c>
      <c r="B11" s="33">
        <v>756</v>
      </c>
      <c r="C11" s="33">
        <v>827</v>
      </c>
      <c r="D11" s="33">
        <v>1116</v>
      </c>
      <c r="E11" s="34">
        <f>SUM(B11:D11)</f>
        <v>2699</v>
      </c>
      <c r="J11" s="28" t="s">
        <v>76</v>
      </c>
      <c r="K11" s="68">
        <v>45856</v>
      </c>
      <c r="L11" s="62"/>
      <c r="M11" s="62">
        <v>95</v>
      </c>
      <c r="N11" s="62"/>
    </row>
    <row r="12" spans="1:15" ht="30" customHeight="1" x14ac:dyDescent="0.25">
      <c r="J12" s="28" t="s">
        <v>77</v>
      </c>
      <c r="K12" s="68">
        <v>45857</v>
      </c>
      <c r="L12" s="70"/>
      <c r="M12" s="71"/>
      <c r="N12" s="71"/>
    </row>
    <row r="13" spans="1:15" ht="30" customHeight="1" x14ac:dyDescent="0.25">
      <c r="A13" s="29">
        <v>0.54</v>
      </c>
      <c r="B13" s="35">
        <f>B4*A13*B11</f>
        <v>70.952112</v>
      </c>
      <c r="C13" s="35">
        <f>C4*A13*C11</f>
        <v>86.189940000000007</v>
      </c>
      <c r="D13" s="35">
        <f>D4*A13*D11</f>
        <v>124.74648000000001</v>
      </c>
      <c r="E13" s="34">
        <f>SUM(B13:D13)</f>
        <v>281.888532</v>
      </c>
      <c r="J13" s="28" t="s">
        <v>78</v>
      </c>
      <c r="K13" s="68">
        <v>45858</v>
      </c>
      <c r="L13" s="71"/>
      <c r="M13" s="71"/>
      <c r="N13" s="71"/>
    </row>
    <row r="14" spans="1:15" ht="30" customHeight="1" x14ac:dyDescent="0.25">
      <c r="A14" s="30"/>
      <c r="J14" s="28" t="s">
        <v>73</v>
      </c>
      <c r="K14" s="68">
        <v>45859</v>
      </c>
      <c r="L14" s="72"/>
      <c r="M14" s="72"/>
      <c r="N14" s="72"/>
    </row>
    <row r="15" spans="1:15" ht="30" customHeight="1" x14ac:dyDescent="0.25">
      <c r="A15" s="29">
        <v>0.46</v>
      </c>
      <c r="B15" s="37">
        <f>B4*A15*B11</f>
        <v>60.440688000000002</v>
      </c>
      <c r="C15" s="37">
        <f>C4*A15*C11</f>
        <v>73.421060000000011</v>
      </c>
      <c r="D15" s="37">
        <f>D4*A15*D11</f>
        <v>106.26552</v>
      </c>
      <c r="E15" s="34">
        <f>SUM(B15:D15)</f>
        <v>240.12726800000002</v>
      </c>
      <c r="J15" s="28" t="s">
        <v>79</v>
      </c>
      <c r="K15" s="68">
        <v>45860</v>
      </c>
      <c r="L15" s="72"/>
      <c r="M15" s="72"/>
      <c r="N15" s="72"/>
    </row>
    <row r="16" spans="1:15" ht="30" customHeight="1" x14ac:dyDescent="0.25">
      <c r="A16" s="30"/>
      <c r="J16" s="28" t="s">
        <v>80</v>
      </c>
      <c r="K16" s="68">
        <v>45861</v>
      </c>
      <c r="L16" s="69"/>
      <c r="M16" s="72"/>
      <c r="N16" s="72"/>
    </row>
    <row r="17" spans="1:14" ht="30" customHeight="1" x14ac:dyDescent="0.25">
      <c r="A17" s="30"/>
      <c r="L17" s="64">
        <f>SUM(L10:L15)</f>
        <v>100</v>
      </c>
      <c r="M17" s="64">
        <f>SUM(M10:M15)</f>
        <v>95</v>
      </c>
      <c r="N17" s="64">
        <f>SUM(N10:N15)</f>
        <v>85</v>
      </c>
    </row>
  </sheetData>
  <mergeCells count="2">
    <mergeCell ref="B3:D3"/>
    <mergeCell ref="L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showGridLines="0" tabSelected="1" workbookViewId="0">
      <selection activeCell="K14" sqref="K14"/>
    </sheetView>
  </sheetViews>
  <sheetFormatPr baseColWidth="10" defaultRowHeight="15" x14ac:dyDescent="0.25"/>
  <cols>
    <col min="1" max="1" width="14.5703125" bestFit="1" customWidth="1"/>
    <col min="2" max="2" width="9" bestFit="1" customWidth="1"/>
    <col min="3" max="3" width="28.42578125" bestFit="1" customWidth="1"/>
    <col min="4" max="4" width="12.28515625" customWidth="1"/>
    <col min="5" max="5" width="11.28515625" bestFit="1" customWidth="1"/>
    <col min="6" max="6" width="11.140625" bestFit="1" customWidth="1"/>
    <col min="7" max="8" width="8.28515625" bestFit="1" customWidth="1"/>
  </cols>
  <sheetData>
    <row r="1" spans="1:13" s="39" customFormat="1" ht="18.75" customHeight="1" x14ac:dyDescent="0.3">
      <c r="A1" s="229" t="s">
        <v>64</v>
      </c>
      <c r="B1" s="229"/>
      <c r="C1" s="229"/>
      <c r="D1" s="229"/>
      <c r="E1" s="229"/>
      <c r="F1" s="229"/>
      <c r="G1" s="230" t="s">
        <v>65</v>
      </c>
      <c r="H1" s="231"/>
    </row>
    <row r="2" spans="1:13" s="39" customFormat="1" ht="18.75" customHeight="1" x14ac:dyDescent="0.3">
      <c r="A2" s="229"/>
      <c r="B2" s="229"/>
      <c r="C2" s="229"/>
      <c r="D2" s="229"/>
      <c r="E2" s="229"/>
      <c r="F2" s="229"/>
      <c r="G2" s="49"/>
      <c r="H2" s="50"/>
    </row>
    <row r="3" spans="1:13" s="39" customFormat="1" ht="26.25" x14ac:dyDescent="0.4">
      <c r="A3" s="232" t="s">
        <v>67</v>
      </c>
      <c r="B3" s="232"/>
      <c r="C3" s="232"/>
      <c r="D3" s="233">
        <v>46086</v>
      </c>
      <c r="E3" s="233"/>
      <c r="F3" s="233"/>
      <c r="G3" s="233"/>
      <c r="H3" s="233"/>
    </row>
    <row r="4" spans="1:13" s="39" customFormat="1" ht="5.25" customHeight="1" x14ac:dyDescent="0.3">
      <c r="A4" s="51"/>
      <c r="B4" s="52"/>
      <c r="C4" s="51"/>
      <c r="D4" s="51"/>
      <c r="E4" s="51"/>
      <c r="F4" s="51"/>
      <c r="G4" s="51"/>
      <c r="H4" s="51"/>
    </row>
    <row r="5" spans="1:13" s="39" customFormat="1" ht="18.75" x14ac:dyDescent="0.3">
      <c r="B5" s="40"/>
      <c r="C5" s="42"/>
      <c r="D5" s="42"/>
    </row>
    <row r="6" spans="1:13" ht="18.75" x14ac:dyDescent="0.25">
      <c r="A6" s="28" t="s">
        <v>50</v>
      </c>
      <c r="B6" s="31" t="s">
        <v>51</v>
      </c>
      <c r="C6" s="28" t="s">
        <v>54</v>
      </c>
      <c r="D6" s="28" t="s">
        <v>57</v>
      </c>
      <c r="E6" s="28" t="s">
        <v>68</v>
      </c>
      <c r="F6" s="28" t="s">
        <v>70</v>
      </c>
      <c r="J6" s="47" t="s">
        <v>60</v>
      </c>
      <c r="K6" s="47" t="s">
        <v>61</v>
      </c>
      <c r="L6" s="47" t="s">
        <v>62</v>
      </c>
      <c r="M6" s="47" t="s">
        <v>63</v>
      </c>
    </row>
    <row r="7" spans="1:13" ht="21" x14ac:dyDescent="0.35">
      <c r="A7" s="43">
        <f>(F7*FICHA!J14)*FICHA!B24%*0.1*0.5*110%</f>
        <v>239.82916320000007</v>
      </c>
      <c r="B7" s="44" t="s">
        <v>52</v>
      </c>
      <c r="C7" s="45" t="s">
        <v>55</v>
      </c>
      <c r="D7" s="225" t="s">
        <v>56</v>
      </c>
      <c r="E7" s="227" t="s">
        <v>69</v>
      </c>
      <c r="F7" s="225">
        <v>4171</v>
      </c>
      <c r="I7" s="48" t="s">
        <v>58</v>
      </c>
      <c r="J7" s="38">
        <v>1258</v>
      </c>
      <c r="K7" s="38">
        <v>1401</v>
      </c>
      <c r="L7" s="38">
        <v>1512</v>
      </c>
      <c r="M7" s="28"/>
    </row>
    <row r="8" spans="1:13" ht="21" x14ac:dyDescent="0.35">
      <c r="A8" s="43">
        <f>(F7*FICHA!J14)*FICHA!B24%*0.1*0.5*110%</f>
        <v>239.82916320000007</v>
      </c>
      <c r="B8" s="44" t="s">
        <v>53</v>
      </c>
      <c r="C8" s="45" t="s">
        <v>55</v>
      </c>
      <c r="D8" s="226"/>
      <c r="E8" s="228"/>
      <c r="F8" s="226"/>
      <c r="I8" s="40" t="s">
        <v>59</v>
      </c>
      <c r="J8" s="46">
        <v>0.17399999999999999</v>
      </c>
      <c r="K8" s="46">
        <v>0.19400000000000001</v>
      </c>
      <c r="L8" s="46">
        <v>0.20799999999999999</v>
      </c>
      <c r="M8" s="28"/>
    </row>
    <row r="9" spans="1:13" ht="22.5" x14ac:dyDescent="0.25">
      <c r="A9" s="36">
        <f>SUM(A7:A8)</f>
        <v>479.65832640000013</v>
      </c>
      <c r="F9" s="28"/>
      <c r="G9" s="28"/>
      <c r="H9" s="28"/>
    </row>
    <row r="10" spans="1:13" ht="18.75" x14ac:dyDescent="0.3">
      <c r="A10" s="28" t="s">
        <v>50</v>
      </c>
      <c r="B10" s="31" t="s">
        <v>51</v>
      </c>
      <c r="C10" s="28" t="s">
        <v>54</v>
      </c>
      <c r="D10" s="28" t="s">
        <v>57</v>
      </c>
      <c r="E10" s="28" t="s">
        <v>68</v>
      </c>
      <c r="F10" s="28" t="s">
        <v>70</v>
      </c>
      <c r="H10" s="41"/>
    </row>
    <row r="11" spans="1:13" ht="21" x14ac:dyDescent="0.35">
      <c r="A11" s="43"/>
      <c r="B11" s="44" t="s">
        <v>52</v>
      </c>
      <c r="C11" s="45"/>
      <c r="D11" s="225"/>
      <c r="E11" s="227"/>
      <c r="F11" s="225"/>
      <c r="H11" s="41"/>
    </row>
    <row r="12" spans="1:13" ht="21" x14ac:dyDescent="0.35">
      <c r="A12" s="43"/>
      <c r="B12" s="44" t="s">
        <v>53</v>
      </c>
      <c r="C12" s="45"/>
      <c r="D12" s="226"/>
      <c r="E12" s="228"/>
      <c r="F12" s="226"/>
    </row>
    <row r="13" spans="1:13" ht="22.5" x14ac:dyDescent="0.25">
      <c r="A13" s="36">
        <f>SUM(A11:A12)</f>
        <v>0</v>
      </c>
    </row>
    <row r="19" spans="1:13" s="39" customFormat="1" ht="18.75" customHeight="1" x14ac:dyDescent="0.3">
      <c r="A19" s="229" t="s">
        <v>64</v>
      </c>
      <c r="B19" s="229"/>
      <c r="C19" s="229"/>
      <c r="D19" s="229"/>
      <c r="E19" s="229"/>
      <c r="F19" s="229"/>
      <c r="G19" s="230" t="s">
        <v>65</v>
      </c>
      <c r="H19" s="231"/>
    </row>
    <row r="20" spans="1:13" s="39" customFormat="1" ht="18.75" customHeight="1" x14ac:dyDescent="0.3">
      <c r="A20" s="229"/>
      <c r="B20" s="229"/>
      <c r="C20" s="229"/>
      <c r="D20" s="229"/>
      <c r="E20" s="229"/>
      <c r="F20" s="229"/>
      <c r="G20" s="49" t="s">
        <v>66</v>
      </c>
      <c r="H20" s="50">
        <v>102</v>
      </c>
    </row>
    <row r="21" spans="1:13" s="39" customFormat="1" ht="26.25" x14ac:dyDescent="0.4">
      <c r="A21" s="232" t="s">
        <v>67</v>
      </c>
      <c r="B21" s="232"/>
      <c r="C21" s="232"/>
      <c r="D21" s="233">
        <v>45845</v>
      </c>
      <c r="E21" s="233"/>
      <c r="F21" s="233"/>
      <c r="G21" s="233"/>
      <c r="H21" s="233"/>
    </row>
    <row r="22" spans="1:13" s="39" customFormat="1" ht="5.25" customHeight="1" x14ac:dyDescent="0.3">
      <c r="A22" s="51"/>
      <c r="B22" s="52"/>
      <c r="C22" s="51"/>
      <c r="D22" s="51"/>
      <c r="E22" s="51"/>
      <c r="F22" s="51"/>
      <c r="G22" s="51"/>
      <c r="H22" s="51"/>
    </row>
    <row r="23" spans="1:13" s="39" customFormat="1" ht="18.75" x14ac:dyDescent="0.3">
      <c r="B23" s="40"/>
      <c r="C23" s="42"/>
      <c r="D23" s="42"/>
    </row>
    <row r="24" spans="1:13" ht="18.75" x14ac:dyDescent="0.25">
      <c r="A24" s="28" t="s">
        <v>50</v>
      </c>
      <c r="B24" s="31" t="s">
        <v>51</v>
      </c>
      <c r="C24" s="28" t="s">
        <v>54</v>
      </c>
      <c r="D24" s="28" t="s">
        <v>57</v>
      </c>
      <c r="E24" s="28" t="s">
        <v>68</v>
      </c>
      <c r="F24" s="28" t="s">
        <v>70</v>
      </c>
      <c r="J24" s="47" t="s">
        <v>60</v>
      </c>
      <c r="K24" s="47" t="s">
        <v>61</v>
      </c>
      <c r="L24" s="47" t="s">
        <v>62</v>
      </c>
      <c r="M24" s="47" t="s">
        <v>63</v>
      </c>
    </row>
    <row r="25" spans="1:13" ht="21" x14ac:dyDescent="0.35">
      <c r="A25" s="43"/>
      <c r="B25" s="44" t="s">
        <v>52</v>
      </c>
      <c r="C25" s="45" t="s">
        <v>55</v>
      </c>
      <c r="D25" s="225" t="s">
        <v>56</v>
      </c>
      <c r="E25" s="227" t="s">
        <v>69</v>
      </c>
      <c r="F25" s="225"/>
      <c r="I25" s="48" t="s">
        <v>58</v>
      </c>
      <c r="J25" s="38">
        <v>1000</v>
      </c>
      <c r="K25" s="38">
        <v>1000</v>
      </c>
      <c r="L25" s="38">
        <v>600</v>
      </c>
      <c r="M25" s="28"/>
    </row>
    <row r="26" spans="1:13" ht="21" x14ac:dyDescent="0.35">
      <c r="A26" s="43">
        <v>0</v>
      </c>
      <c r="B26" s="44" t="s">
        <v>53</v>
      </c>
      <c r="C26" s="45" t="s">
        <v>55</v>
      </c>
      <c r="D26" s="226"/>
      <c r="E26" s="228"/>
      <c r="F26" s="226"/>
      <c r="I26" s="40" t="s">
        <v>59</v>
      </c>
      <c r="J26" s="46">
        <v>0.17380000000000001</v>
      </c>
      <c r="K26" s="46">
        <v>0.19359999999999999</v>
      </c>
      <c r="L26" s="46">
        <v>0.2079</v>
      </c>
      <c r="M26" s="28"/>
    </row>
    <row r="27" spans="1:13" ht="22.5" x14ac:dyDescent="0.25">
      <c r="A27" s="36">
        <f>SUM(A25:A26)</f>
        <v>0</v>
      </c>
      <c r="F27" s="28"/>
      <c r="G27" s="28"/>
      <c r="H27" s="28"/>
    </row>
    <row r="28" spans="1:13" ht="18.75" x14ac:dyDescent="0.3">
      <c r="A28" s="28" t="s">
        <v>50</v>
      </c>
      <c r="B28" s="31" t="s">
        <v>51</v>
      </c>
      <c r="C28" s="28" t="s">
        <v>54</v>
      </c>
      <c r="D28" s="28" t="s">
        <v>57</v>
      </c>
      <c r="E28" s="28" t="s">
        <v>68</v>
      </c>
      <c r="F28" s="28" t="s">
        <v>70</v>
      </c>
      <c r="H28" s="41"/>
    </row>
    <row r="29" spans="1:13" ht="21" x14ac:dyDescent="0.35">
      <c r="A29" s="43"/>
      <c r="B29" s="44" t="s">
        <v>52</v>
      </c>
      <c r="C29" s="45"/>
      <c r="D29" s="225"/>
      <c r="E29" s="227"/>
      <c r="F29" s="225"/>
      <c r="H29" s="41"/>
    </row>
    <row r="30" spans="1:13" ht="21" x14ac:dyDescent="0.35">
      <c r="A30" s="43"/>
      <c r="B30" s="44" t="s">
        <v>53</v>
      </c>
      <c r="C30" s="45"/>
      <c r="D30" s="226"/>
      <c r="E30" s="228"/>
      <c r="F30" s="226"/>
    </row>
    <row r="31" spans="1:13" ht="22.5" x14ac:dyDescent="0.25">
      <c r="A31" s="36">
        <f>SUM(A29:A30)</f>
        <v>0</v>
      </c>
    </row>
  </sheetData>
  <mergeCells count="20">
    <mergeCell ref="D29:D30"/>
    <mergeCell ref="E29:E30"/>
    <mergeCell ref="F29:F30"/>
    <mergeCell ref="A19:F20"/>
    <mergeCell ref="G19:H19"/>
    <mergeCell ref="A21:C21"/>
    <mergeCell ref="D21:H21"/>
    <mergeCell ref="D25:D26"/>
    <mergeCell ref="E25:E26"/>
    <mergeCell ref="F25:F26"/>
    <mergeCell ref="G1:H1"/>
    <mergeCell ref="A3:C3"/>
    <mergeCell ref="E7:E8"/>
    <mergeCell ref="F7:F8"/>
    <mergeCell ref="D3:H3"/>
    <mergeCell ref="D11:D12"/>
    <mergeCell ref="E11:E12"/>
    <mergeCell ref="F11:F12"/>
    <mergeCell ref="D7:D8"/>
    <mergeCell ref="A1:F2"/>
  </mergeCells>
  <pageMargins left="0.23622047244094491" right="0.23622047244094491" top="0.55118110236220474" bottom="0.35433070866141736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workbookViewId="0">
      <selection activeCell="Q26" sqref="Q26:S26"/>
    </sheetView>
  </sheetViews>
  <sheetFormatPr baseColWidth="10" defaultRowHeight="15" x14ac:dyDescent="0.25"/>
  <cols>
    <col min="1" max="1" width="12" bestFit="1" customWidth="1"/>
    <col min="2" max="2" width="11.85546875" bestFit="1" customWidth="1"/>
    <col min="3" max="3" width="14.140625" customWidth="1"/>
    <col min="4" max="4" width="15.85546875" customWidth="1"/>
    <col min="5" max="5" width="12.7109375" bestFit="1" customWidth="1"/>
    <col min="6" max="6" width="8.140625" bestFit="1" customWidth="1"/>
    <col min="7" max="7" width="2.42578125" customWidth="1"/>
    <col min="8" max="8" width="12" bestFit="1" customWidth="1"/>
    <col min="9" max="9" width="11.85546875" bestFit="1" customWidth="1"/>
    <col min="10" max="10" width="14.140625" customWidth="1"/>
    <col min="11" max="11" width="15.85546875" customWidth="1"/>
    <col min="12" max="12" width="12.7109375" bestFit="1" customWidth="1"/>
    <col min="13" max="13" width="8.140625" bestFit="1" customWidth="1"/>
    <col min="14" max="14" width="2" customWidth="1"/>
    <col min="15" max="15" width="12" bestFit="1" customWidth="1"/>
    <col min="16" max="16" width="11.85546875" bestFit="1" customWidth="1"/>
    <col min="17" max="17" width="14.140625" customWidth="1"/>
    <col min="18" max="18" width="15.85546875" customWidth="1"/>
    <col min="19" max="19" width="12.7109375" bestFit="1" customWidth="1"/>
    <col min="20" max="20" width="8.140625" bestFit="1" customWidth="1"/>
  </cols>
  <sheetData>
    <row r="1" spans="1:20" ht="24" thickBot="1" x14ac:dyDescent="0.3">
      <c r="C1" s="4" t="s">
        <v>16</v>
      </c>
      <c r="D1" s="54" t="s">
        <v>13</v>
      </c>
      <c r="E1" s="5" t="s">
        <v>17</v>
      </c>
      <c r="J1" s="4" t="s">
        <v>16</v>
      </c>
      <c r="K1" s="54" t="s">
        <v>13</v>
      </c>
      <c r="L1" s="5" t="s">
        <v>17</v>
      </c>
      <c r="Q1" s="4" t="s">
        <v>16</v>
      </c>
      <c r="R1" s="54" t="s">
        <v>13</v>
      </c>
      <c r="S1" s="5" t="s">
        <v>17</v>
      </c>
    </row>
    <row r="2" spans="1:20" ht="24" customHeight="1" thickBot="1" x14ac:dyDescent="0.3">
      <c r="C2" s="234" t="s">
        <v>84</v>
      </c>
      <c r="D2" s="235"/>
      <c r="E2" s="236"/>
      <c r="J2" s="234" t="s">
        <v>84</v>
      </c>
      <c r="K2" s="235"/>
      <c r="L2" s="236"/>
      <c r="Q2" s="234" t="s">
        <v>84</v>
      </c>
      <c r="R2" s="235"/>
      <c r="S2" s="236"/>
    </row>
    <row r="3" spans="1:20" ht="19.5" thickBot="1" x14ac:dyDescent="0.3">
      <c r="C3" s="73" t="s">
        <v>29</v>
      </c>
      <c r="D3" s="74" t="s">
        <v>26</v>
      </c>
      <c r="E3" s="75" t="s">
        <v>28</v>
      </c>
      <c r="J3" s="73" t="s">
        <v>29</v>
      </c>
      <c r="K3" s="74" t="s">
        <v>26</v>
      </c>
      <c r="L3" s="75" t="s">
        <v>28</v>
      </c>
      <c r="Q3" s="73" t="s">
        <v>29</v>
      </c>
      <c r="R3" s="74" t="s">
        <v>26</v>
      </c>
      <c r="S3" s="75" t="s">
        <v>28</v>
      </c>
    </row>
    <row r="4" spans="1:20" ht="24" thickBot="1" x14ac:dyDescent="0.3">
      <c r="C4" s="82">
        <v>4.5138888888888893E-3</v>
      </c>
      <c r="D4" s="83">
        <v>5.2662037037037035E-3</v>
      </c>
      <c r="E4" s="84">
        <v>3.2754629629629631E-3</v>
      </c>
      <c r="J4" s="76">
        <v>4.5138888888888893E-3</v>
      </c>
      <c r="K4" s="77">
        <v>5.2662037037037035E-3</v>
      </c>
      <c r="L4" s="78">
        <v>3.2754629629629631E-3</v>
      </c>
      <c r="Q4" s="76">
        <v>4.5138888888888893E-3</v>
      </c>
      <c r="R4" s="77">
        <v>5.2662037037037035E-3</v>
      </c>
      <c r="S4" s="78">
        <v>3.2754629629629631E-3</v>
      </c>
    </row>
    <row r="5" spans="1:20" ht="23.25" x14ac:dyDescent="0.25">
      <c r="C5" s="79">
        <v>4.363425925925926E-3</v>
      </c>
      <c r="D5" s="80">
        <v>3.425925925925926E-3</v>
      </c>
      <c r="E5" s="81">
        <v>3.2060185185185191E-3</v>
      </c>
      <c r="J5" s="79">
        <v>4.363425925925926E-3</v>
      </c>
      <c r="K5" s="80">
        <v>3.425925925925926E-3</v>
      </c>
      <c r="L5" s="81">
        <v>3.2060185185185191E-3</v>
      </c>
      <c r="Q5" s="79">
        <v>4.363425925925926E-3</v>
      </c>
      <c r="R5" s="80">
        <v>3.425925925925926E-3</v>
      </c>
      <c r="S5" s="81">
        <v>3.2060185185185191E-3</v>
      </c>
    </row>
    <row r="6" spans="1:20" ht="23.25" x14ac:dyDescent="0.25">
      <c r="C6" s="237" t="s">
        <v>82</v>
      </c>
      <c r="D6" s="238"/>
      <c r="E6" s="239"/>
      <c r="J6" s="240" t="s">
        <v>81</v>
      </c>
      <c r="K6" s="241"/>
      <c r="L6" s="242"/>
      <c r="Q6" s="243" t="s">
        <v>83</v>
      </c>
      <c r="R6" s="244"/>
      <c r="S6" s="245"/>
    </row>
    <row r="7" spans="1:20" ht="23.25" x14ac:dyDescent="0.25">
      <c r="B7" s="58" t="s">
        <v>71</v>
      </c>
      <c r="C7" s="30">
        <v>8.5</v>
      </c>
      <c r="D7" s="30">
        <v>7.5</v>
      </c>
      <c r="E7" s="30">
        <v>12</v>
      </c>
      <c r="I7" s="58" t="s">
        <v>71</v>
      </c>
      <c r="J7" s="30">
        <v>8.5</v>
      </c>
      <c r="K7" s="30">
        <v>7.5</v>
      </c>
      <c r="L7" s="30">
        <v>12</v>
      </c>
      <c r="P7" s="58" t="s">
        <v>71</v>
      </c>
      <c r="Q7" s="30">
        <v>8.5</v>
      </c>
      <c r="R7" s="30">
        <v>7.5</v>
      </c>
      <c r="S7" s="30">
        <v>12</v>
      </c>
    </row>
    <row r="8" spans="1:20" ht="23.25" x14ac:dyDescent="0.35">
      <c r="B8" s="58" t="s">
        <v>85</v>
      </c>
      <c r="C8" s="59">
        <v>93</v>
      </c>
      <c r="D8" s="59">
        <v>90</v>
      </c>
      <c r="E8" s="59">
        <v>144</v>
      </c>
      <c r="F8" s="60">
        <f>SUM(C8:E8)</f>
        <v>327</v>
      </c>
      <c r="I8" s="58" t="s">
        <v>72</v>
      </c>
      <c r="J8" s="59">
        <v>93</v>
      </c>
      <c r="K8" s="59">
        <v>90</v>
      </c>
      <c r="L8" s="59">
        <v>144</v>
      </c>
      <c r="M8" s="60">
        <f>SUM(J8:L8)</f>
        <v>327</v>
      </c>
      <c r="P8" s="58" t="s">
        <v>72</v>
      </c>
      <c r="Q8" s="59">
        <v>93</v>
      </c>
      <c r="R8" s="59">
        <v>90</v>
      </c>
      <c r="S8" s="59">
        <v>144</v>
      </c>
      <c r="T8" s="60">
        <f>SUM(Q8:S8)</f>
        <v>327</v>
      </c>
    </row>
    <row r="9" spans="1:20" ht="22.5" x14ac:dyDescent="0.3">
      <c r="B9" s="58" t="s">
        <v>74</v>
      </c>
      <c r="C9" s="63">
        <v>328</v>
      </c>
      <c r="D9" s="63">
        <v>345</v>
      </c>
      <c r="E9" s="63">
        <v>408</v>
      </c>
      <c r="F9" s="63">
        <f>SUM(C9:E9)</f>
        <v>1081</v>
      </c>
      <c r="I9" s="58" t="s">
        <v>74</v>
      </c>
      <c r="J9" s="63">
        <v>162</v>
      </c>
      <c r="K9" s="63">
        <v>102</v>
      </c>
      <c r="L9" s="63">
        <v>168</v>
      </c>
      <c r="M9" s="63">
        <f>SUM(J9:L9)</f>
        <v>432</v>
      </c>
      <c r="P9" s="58" t="s">
        <v>74</v>
      </c>
      <c r="Q9" s="63">
        <v>266</v>
      </c>
      <c r="R9" s="63">
        <v>380</v>
      </c>
      <c r="S9" s="63">
        <v>540</v>
      </c>
      <c r="T9" s="63">
        <f>SUM(Q9:S9)</f>
        <v>1186</v>
      </c>
    </row>
    <row r="10" spans="1:20" ht="22.5" x14ac:dyDescent="0.25">
      <c r="A10" s="28" t="s">
        <v>75</v>
      </c>
      <c r="B10" s="68">
        <v>45855</v>
      </c>
      <c r="C10" s="62">
        <v>100</v>
      </c>
      <c r="D10" s="62"/>
      <c r="E10" s="62">
        <v>85</v>
      </c>
      <c r="F10" s="60">
        <f t="shared" ref="F10:F17" si="0">SUM(C10:E10)</f>
        <v>185</v>
      </c>
      <c r="H10" s="28" t="s">
        <v>92</v>
      </c>
      <c r="I10" s="68">
        <v>45852</v>
      </c>
      <c r="J10" s="62"/>
      <c r="K10" s="62"/>
      <c r="L10" s="62">
        <v>85</v>
      </c>
      <c r="M10" s="60">
        <f t="shared" ref="M10:M16" si="1">SUM(J10:L10)</f>
        <v>85</v>
      </c>
      <c r="O10" s="28" t="s">
        <v>86</v>
      </c>
      <c r="P10" s="68">
        <v>45859</v>
      </c>
      <c r="Q10" s="62">
        <v>100</v>
      </c>
      <c r="R10" s="62"/>
      <c r="S10" s="62">
        <v>85</v>
      </c>
      <c r="T10" s="60">
        <f t="shared" ref="T10:T11" si="2">SUM(Q10:S10)</f>
        <v>185</v>
      </c>
    </row>
    <row r="11" spans="1:20" ht="22.5" x14ac:dyDescent="0.25">
      <c r="A11" s="28" t="s">
        <v>76</v>
      </c>
      <c r="B11" s="68">
        <v>45856</v>
      </c>
      <c r="C11" s="62"/>
      <c r="D11" s="62">
        <v>95</v>
      </c>
      <c r="E11" s="62"/>
      <c r="F11" s="60">
        <f t="shared" si="0"/>
        <v>95</v>
      </c>
      <c r="H11" s="28" t="s">
        <v>79</v>
      </c>
      <c r="I11" s="68">
        <v>45853</v>
      </c>
      <c r="J11" s="62"/>
      <c r="K11" s="62">
        <v>102</v>
      </c>
      <c r="L11" s="62">
        <v>83</v>
      </c>
      <c r="M11" s="60">
        <f t="shared" si="1"/>
        <v>185</v>
      </c>
      <c r="O11" s="28" t="s">
        <v>79</v>
      </c>
      <c r="P11" s="68">
        <f>P10+1</f>
        <v>45860</v>
      </c>
      <c r="Q11" s="62">
        <v>166</v>
      </c>
      <c r="R11" s="62"/>
      <c r="S11" s="62"/>
      <c r="T11" s="60">
        <f t="shared" si="2"/>
        <v>166</v>
      </c>
    </row>
    <row r="12" spans="1:20" ht="22.5" x14ac:dyDescent="0.25">
      <c r="A12" s="28" t="s">
        <v>77</v>
      </c>
      <c r="B12" s="68">
        <v>45857</v>
      </c>
      <c r="C12" s="70"/>
      <c r="D12" s="71"/>
      <c r="E12" s="71"/>
      <c r="F12" s="60"/>
      <c r="H12" s="28" t="s">
        <v>80</v>
      </c>
      <c r="I12" s="68">
        <v>45854</v>
      </c>
      <c r="J12" s="88">
        <v>162</v>
      </c>
      <c r="K12" s="72"/>
      <c r="L12" s="72"/>
      <c r="M12" s="60">
        <f t="shared" si="1"/>
        <v>162</v>
      </c>
      <c r="O12" s="28" t="s">
        <v>87</v>
      </c>
      <c r="P12" s="68">
        <f t="shared" ref="P12:P16" si="3">P11+1</f>
        <v>45861</v>
      </c>
      <c r="Q12" s="85"/>
      <c r="R12" s="72"/>
      <c r="S12" s="72">
        <v>85</v>
      </c>
      <c r="T12" s="60"/>
    </row>
    <row r="13" spans="1:20" ht="22.5" x14ac:dyDescent="0.25">
      <c r="A13" s="28" t="s">
        <v>78</v>
      </c>
      <c r="B13" s="68">
        <v>45858</v>
      </c>
      <c r="C13" s="71"/>
      <c r="D13" s="71"/>
      <c r="E13" s="71"/>
      <c r="F13" s="60"/>
      <c r="H13" s="28" t="s">
        <v>75</v>
      </c>
      <c r="I13" s="68">
        <v>45855</v>
      </c>
      <c r="J13" s="72"/>
      <c r="K13" s="72"/>
      <c r="L13" s="72"/>
      <c r="M13" s="60">
        <f t="shared" si="1"/>
        <v>0</v>
      </c>
      <c r="O13" s="28" t="s">
        <v>88</v>
      </c>
      <c r="P13" s="68">
        <f t="shared" si="3"/>
        <v>45862</v>
      </c>
      <c r="Q13" s="72"/>
      <c r="R13" s="72"/>
      <c r="S13" s="72">
        <v>85</v>
      </c>
      <c r="T13" s="60"/>
    </row>
    <row r="14" spans="1:20" ht="22.5" x14ac:dyDescent="0.25">
      <c r="A14" s="28" t="s">
        <v>73</v>
      </c>
      <c r="B14" s="68">
        <v>45859</v>
      </c>
      <c r="C14" s="72">
        <v>28</v>
      </c>
      <c r="D14" s="72">
        <v>95</v>
      </c>
      <c r="E14" s="72">
        <v>85</v>
      </c>
      <c r="F14" s="60">
        <f t="shared" si="0"/>
        <v>208</v>
      </c>
      <c r="H14" s="28" t="s">
        <v>76</v>
      </c>
      <c r="I14" s="68">
        <v>45856</v>
      </c>
      <c r="J14" s="72"/>
      <c r="K14" s="72"/>
      <c r="L14" s="72"/>
      <c r="M14" s="60">
        <f t="shared" si="1"/>
        <v>0</v>
      </c>
      <c r="O14" s="28" t="s">
        <v>89</v>
      </c>
      <c r="P14" s="68">
        <f t="shared" si="3"/>
        <v>45863</v>
      </c>
      <c r="Q14" s="72"/>
      <c r="R14" s="72"/>
      <c r="S14" s="72"/>
      <c r="T14" s="60">
        <f t="shared" ref="T14:T16" si="4">SUM(Q14:S14)</f>
        <v>0</v>
      </c>
    </row>
    <row r="15" spans="1:20" ht="22.5" x14ac:dyDescent="0.25">
      <c r="A15" s="28" t="s">
        <v>79</v>
      </c>
      <c r="B15" s="68">
        <v>45860</v>
      </c>
      <c r="C15" s="72">
        <v>100</v>
      </c>
      <c r="D15" s="72">
        <v>95</v>
      </c>
      <c r="E15" s="72"/>
      <c r="F15" s="60">
        <f t="shared" si="0"/>
        <v>195</v>
      </c>
      <c r="H15" s="28" t="s">
        <v>77</v>
      </c>
      <c r="I15" s="68">
        <v>45857</v>
      </c>
      <c r="J15" s="72"/>
      <c r="K15" s="72"/>
      <c r="L15" s="72"/>
      <c r="M15" s="60">
        <f t="shared" si="1"/>
        <v>0</v>
      </c>
      <c r="O15" s="28" t="s">
        <v>90</v>
      </c>
      <c r="P15" s="68">
        <f t="shared" si="3"/>
        <v>45864</v>
      </c>
      <c r="Q15" s="72"/>
      <c r="R15" s="72"/>
      <c r="S15" s="72"/>
      <c r="T15" s="60">
        <f t="shared" si="4"/>
        <v>0</v>
      </c>
    </row>
    <row r="16" spans="1:20" ht="22.5" x14ac:dyDescent="0.25">
      <c r="A16" s="28" t="s">
        <v>80</v>
      </c>
      <c r="B16" s="68">
        <v>45861</v>
      </c>
      <c r="C16" s="89">
        <v>100</v>
      </c>
      <c r="D16" s="89"/>
      <c r="E16" s="89">
        <v>85</v>
      </c>
      <c r="F16" s="60">
        <f t="shared" si="0"/>
        <v>185</v>
      </c>
      <c r="H16" s="28" t="s">
        <v>78</v>
      </c>
      <c r="I16" s="68">
        <v>45858</v>
      </c>
      <c r="J16" s="69"/>
      <c r="K16" s="72"/>
      <c r="L16" s="72"/>
      <c r="M16" s="60">
        <f t="shared" si="1"/>
        <v>0</v>
      </c>
      <c r="O16" s="28" t="s">
        <v>91</v>
      </c>
      <c r="P16" s="68">
        <f t="shared" si="3"/>
        <v>45865</v>
      </c>
      <c r="Q16" s="69"/>
      <c r="R16" s="72"/>
      <c r="S16" s="72"/>
      <c r="T16" s="60">
        <f t="shared" si="4"/>
        <v>0</v>
      </c>
    </row>
    <row r="17" spans="1:20" ht="22.5" x14ac:dyDescent="0.3">
      <c r="A17" s="28" t="s">
        <v>75</v>
      </c>
      <c r="B17" s="68">
        <v>45862</v>
      </c>
      <c r="C17" s="90"/>
      <c r="D17" s="90"/>
      <c r="E17" s="89">
        <v>68</v>
      </c>
      <c r="F17" s="60">
        <f t="shared" si="0"/>
        <v>68</v>
      </c>
      <c r="J17" s="64">
        <f>SUM(J10:J15)</f>
        <v>162</v>
      </c>
      <c r="K17" s="64">
        <f>SUM(K10:K15)</f>
        <v>102</v>
      </c>
      <c r="L17" s="64">
        <f>SUM(L10:L15)</f>
        <v>168</v>
      </c>
      <c r="M17" s="63">
        <f>SUM(J17:L17)</f>
        <v>432</v>
      </c>
      <c r="Q17" s="64">
        <f>SUM(Q10:Q15)</f>
        <v>266</v>
      </c>
      <c r="R17" s="64">
        <f>SUM(R10:R15)</f>
        <v>0</v>
      </c>
      <c r="S17" s="64">
        <f>SUM(S10:S15)</f>
        <v>255</v>
      </c>
      <c r="T17" s="63">
        <f>SUM(Q17:S17)</f>
        <v>521</v>
      </c>
    </row>
    <row r="18" spans="1:20" ht="22.5" customHeight="1" x14ac:dyDescent="0.25">
      <c r="C18" s="91"/>
      <c r="D18" s="91"/>
      <c r="E18" s="91"/>
    </row>
    <row r="19" spans="1:20" ht="22.5" customHeight="1" x14ac:dyDescent="0.25">
      <c r="C19" s="91"/>
      <c r="D19" s="91"/>
      <c r="E19" s="91"/>
    </row>
    <row r="20" spans="1:20" ht="22.5" customHeight="1" x14ac:dyDescent="0.25">
      <c r="C20" s="91"/>
      <c r="D20" s="91"/>
      <c r="E20" s="91"/>
    </row>
    <row r="21" spans="1:20" ht="22.5" x14ac:dyDescent="0.3">
      <c r="C21" s="64">
        <f>SUM(C10:C20)</f>
        <v>328</v>
      </c>
      <c r="D21" s="64">
        <f>SUM(D10:D20)</f>
        <v>285</v>
      </c>
      <c r="E21" s="64">
        <f>SUM(E10:E20)</f>
        <v>323</v>
      </c>
      <c r="F21" s="63">
        <f>SUM(C21:E21)</f>
        <v>936</v>
      </c>
    </row>
    <row r="24" spans="1:20" ht="15.75" thickBot="1" x14ac:dyDescent="0.3"/>
    <row r="25" spans="1:20" ht="24" thickBot="1" x14ac:dyDescent="0.3">
      <c r="C25" s="4" t="s">
        <v>16</v>
      </c>
      <c r="D25" s="86" t="s">
        <v>13</v>
      </c>
      <c r="E25" s="5" t="s">
        <v>17</v>
      </c>
      <c r="J25" s="4" t="s">
        <v>16</v>
      </c>
      <c r="K25" s="86" t="s">
        <v>13</v>
      </c>
      <c r="L25" s="5" t="s">
        <v>17</v>
      </c>
      <c r="Q25" s="4" t="s">
        <v>16</v>
      </c>
      <c r="R25" s="86" t="s">
        <v>13</v>
      </c>
      <c r="S25" s="5" t="s">
        <v>17</v>
      </c>
    </row>
    <row r="26" spans="1:20" ht="24" thickBot="1" x14ac:dyDescent="0.3">
      <c r="C26" s="234" t="s">
        <v>93</v>
      </c>
      <c r="D26" s="235"/>
      <c r="E26" s="236"/>
      <c r="J26" s="234" t="s">
        <v>93</v>
      </c>
      <c r="K26" s="235"/>
      <c r="L26" s="236"/>
      <c r="Q26" s="234" t="s">
        <v>93</v>
      </c>
      <c r="R26" s="235"/>
      <c r="S26" s="236"/>
    </row>
    <row r="27" spans="1:20" ht="19.5" thickBot="1" x14ac:dyDescent="0.3">
      <c r="C27" s="73" t="s">
        <v>29</v>
      </c>
      <c r="D27" s="74" t="s">
        <v>26</v>
      </c>
      <c r="E27" s="75" t="s">
        <v>28</v>
      </c>
      <c r="J27" s="73" t="s">
        <v>29</v>
      </c>
      <c r="K27" s="74" t="s">
        <v>26</v>
      </c>
      <c r="L27" s="75" t="s">
        <v>28</v>
      </c>
      <c r="Q27" s="73" t="s">
        <v>29</v>
      </c>
      <c r="R27" s="74" t="s">
        <v>26</v>
      </c>
      <c r="S27" s="75" t="s">
        <v>28</v>
      </c>
    </row>
    <row r="28" spans="1:20" ht="24" thickBot="1" x14ac:dyDescent="0.3">
      <c r="C28" s="82">
        <v>4.5138888888888893E-3</v>
      </c>
      <c r="D28" s="83">
        <v>5.2662037037037035E-3</v>
      </c>
      <c r="E28" s="84">
        <v>3.2754629629629631E-3</v>
      </c>
      <c r="J28" s="76">
        <v>4.5138888888888893E-3</v>
      </c>
      <c r="K28" s="77">
        <v>5.2662037037037035E-3</v>
      </c>
      <c r="L28" s="78">
        <v>3.2754629629629631E-3</v>
      </c>
      <c r="Q28" s="76">
        <v>4.5138888888888893E-3</v>
      </c>
      <c r="R28" s="77">
        <v>5.2662037037037035E-3</v>
      </c>
      <c r="S28" s="78">
        <v>3.2754629629629631E-3</v>
      </c>
    </row>
    <row r="29" spans="1:20" ht="23.25" x14ac:dyDescent="0.25">
      <c r="C29" s="79">
        <v>4.363425925925926E-3</v>
      </c>
      <c r="D29" s="80">
        <v>3.425925925925926E-3</v>
      </c>
      <c r="E29" s="81">
        <v>3.2060185185185191E-3</v>
      </c>
      <c r="J29" s="79">
        <v>4.363425925925926E-3</v>
      </c>
      <c r="K29" s="80">
        <v>3.425925925925926E-3</v>
      </c>
      <c r="L29" s="81">
        <v>3.2060185185185191E-3</v>
      </c>
      <c r="Q29" s="79">
        <v>4.363425925925926E-3</v>
      </c>
      <c r="R29" s="80">
        <v>3.425925925925926E-3</v>
      </c>
      <c r="S29" s="81">
        <v>3.2060185185185191E-3</v>
      </c>
    </row>
    <row r="30" spans="1:20" ht="23.25" x14ac:dyDescent="0.25">
      <c r="C30" s="237" t="s">
        <v>82</v>
      </c>
      <c r="D30" s="238"/>
      <c r="E30" s="239"/>
      <c r="J30" s="240" t="s">
        <v>81</v>
      </c>
      <c r="K30" s="241"/>
      <c r="L30" s="242"/>
      <c r="Q30" s="243" t="s">
        <v>83</v>
      </c>
      <c r="R30" s="244"/>
      <c r="S30" s="245"/>
    </row>
    <row r="31" spans="1:20" ht="23.25" x14ac:dyDescent="0.25">
      <c r="B31" s="58" t="s">
        <v>71</v>
      </c>
      <c r="C31" s="30">
        <v>8.5</v>
      </c>
      <c r="D31" s="30">
        <v>7.5</v>
      </c>
      <c r="E31" s="30">
        <v>12</v>
      </c>
      <c r="I31" s="58" t="s">
        <v>71</v>
      </c>
      <c r="J31" s="30">
        <v>8.5</v>
      </c>
      <c r="K31" s="30">
        <v>7.5</v>
      </c>
      <c r="L31" s="30">
        <v>12</v>
      </c>
      <c r="P31" s="58" t="s">
        <v>71</v>
      </c>
      <c r="Q31" s="30">
        <v>8.5</v>
      </c>
      <c r="R31" s="30">
        <v>7.5</v>
      </c>
      <c r="S31" s="30">
        <v>12</v>
      </c>
    </row>
    <row r="32" spans="1:20" ht="23.25" x14ac:dyDescent="0.35">
      <c r="B32" s="58" t="s">
        <v>85</v>
      </c>
      <c r="C32" s="59">
        <v>93</v>
      </c>
      <c r="D32" s="59">
        <v>90</v>
      </c>
      <c r="E32" s="59">
        <v>144</v>
      </c>
      <c r="F32" s="60">
        <f>SUM(C32:E32)</f>
        <v>327</v>
      </c>
      <c r="I32" s="58" t="s">
        <v>85</v>
      </c>
      <c r="J32" s="59">
        <v>136</v>
      </c>
      <c r="K32" s="59">
        <v>120</v>
      </c>
      <c r="L32" s="59">
        <v>192</v>
      </c>
      <c r="M32" s="60">
        <f>SUM(J32:L32)</f>
        <v>448</v>
      </c>
      <c r="P32" s="58" t="s">
        <v>85</v>
      </c>
      <c r="Q32" s="59">
        <v>136</v>
      </c>
      <c r="R32" s="59">
        <v>120</v>
      </c>
      <c r="S32" s="59">
        <v>192</v>
      </c>
    </row>
    <row r="33" spans="1:19" ht="22.5" x14ac:dyDescent="0.3">
      <c r="B33" s="58" t="s">
        <v>74</v>
      </c>
      <c r="C33" s="63">
        <v>173</v>
      </c>
      <c r="D33" s="63">
        <v>189</v>
      </c>
      <c r="E33" s="63">
        <v>234</v>
      </c>
      <c r="F33" s="63">
        <f>SUM(C33:E33)</f>
        <v>596</v>
      </c>
      <c r="I33" s="58" t="s">
        <v>74</v>
      </c>
      <c r="J33" s="63">
        <v>296</v>
      </c>
      <c r="K33" s="63">
        <v>313</v>
      </c>
      <c r="L33" s="63">
        <v>689</v>
      </c>
      <c r="M33" s="63">
        <f>SUM(J33:L33)</f>
        <v>1298</v>
      </c>
      <c r="P33" s="58" t="s">
        <v>74</v>
      </c>
      <c r="Q33" s="63">
        <v>120</v>
      </c>
      <c r="R33" s="63">
        <v>149</v>
      </c>
      <c r="S33" s="63">
        <v>205</v>
      </c>
    </row>
    <row r="34" spans="1:19" ht="22.5" x14ac:dyDescent="0.25">
      <c r="A34" s="28" t="s">
        <v>73</v>
      </c>
      <c r="B34" s="68">
        <v>45859</v>
      </c>
      <c r="C34" s="62">
        <v>73</v>
      </c>
      <c r="D34" s="62"/>
      <c r="E34" s="62"/>
      <c r="F34" s="60">
        <f t="shared" ref="F34:F35" si="5">SUM(C34:E34)</f>
        <v>73</v>
      </c>
      <c r="H34" s="28" t="s">
        <v>79</v>
      </c>
      <c r="I34" s="68">
        <v>45860</v>
      </c>
      <c r="J34" s="62">
        <v>100</v>
      </c>
      <c r="K34" s="62">
        <v>95</v>
      </c>
      <c r="L34" s="62"/>
      <c r="M34" s="60">
        <f t="shared" ref="M34:M40" si="6">SUM(J34:L34)</f>
        <v>195</v>
      </c>
      <c r="O34" s="28" t="s">
        <v>86</v>
      </c>
      <c r="P34" s="68">
        <v>45859</v>
      </c>
      <c r="Q34" s="62"/>
      <c r="R34" s="62"/>
      <c r="S34" s="62"/>
    </row>
    <row r="35" spans="1:19" ht="22.5" x14ac:dyDescent="0.25">
      <c r="A35" s="28" t="s">
        <v>79</v>
      </c>
      <c r="B35" s="68">
        <v>45860</v>
      </c>
      <c r="C35" s="62"/>
      <c r="D35" s="62"/>
      <c r="E35" s="62"/>
      <c r="F35" s="60">
        <f t="shared" si="5"/>
        <v>0</v>
      </c>
      <c r="H35" s="28" t="s">
        <v>80</v>
      </c>
      <c r="I35" s="68">
        <v>45861</v>
      </c>
      <c r="J35" s="62"/>
      <c r="K35" s="62">
        <v>95</v>
      </c>
      <c r="L35" s="62"/>
      <c r="M35" s="60">
        <f t="shared" si="6"/>
        <v>95</v>
      </c>
      <c r="O35" s="28" t="s">
        <v>79</v>
      </c>
      <c r="P35" s="68">
        <f>P34+1</f>
        <v>45860</v>
      </c>
      <c r="Q35" s="62"/>
      <c r="R35" s="62"/>
      <c r="S35" s="62"/>
    </row>
    <row r="36" spans="1:19" ht="22.5" x14ac:dyDescent="0.25">
      <c r="A36" s="28" t="s">
        <v>80</v>
      </c>
      <c r="B36" s="68">
        <v>45861</v>
      </c>
      <c r="C36" s="85"/>
      <c r="D36" s="72"/>
      <c r="E36" s="72"/>
      <c r="F36" s="60"/>
      <c r="H36" s="28" t="s">
        <v>75</v>
      </c>
      <c r="I36" s="68">
        <v>45862</v>
      </c>
      <c r="J36" s="85">
        <v>96</v>
      </c>
      <c r="K36" s="72">
        <v>123</v>
      </c>
      <c r="L36" s="72"/>
      <c r="M36" s="60">
        <f t="shared" si="6"/>
        <v>219</v>
      </c>
      <c r="O36" s="28" t="s">
        <v>87</v>
      </c>
      <c r="P36" s="68">
        <f t="shared" ref="P36:P40" si="7">P35+1</f>
        <v>45861</v>
      </c>
      <c r="Q36" s="85"/>
      <c r="R36" s="72"/>
      <c r="S36" s="72"/>
    </row>
    <row r="37" spans="1:19" ht="22.5" x14ac:dyDescent="0.25">
      <c r="A37" s="28" t="s">
        <v>75</v>
      </c>
      <c r="B37" s="68">
        <v>45862</v>
      </c>
      <c r="C37" s="72"/>
      <c r="D37" s="72"/>
      <c r="E37" s="72"/>
      <c r="F37" s="60"/>
      <c r="H37" s="28" t="s">
        <v>76</v>
      </c>
      <c r="I37" s="68">
        <v>45863</v>
      </c>
      <c r="J37" s="87"/>
      <c r="K37" s="87"/>
      <c r="L37" s="87"/>
      <c r="M37" s="60">
        <f t="shared" si="6"/>
        <v>0</v>
      </c>
      <c r="O37" s="28" t="s">
        <v>88</v>
      </c>
      <c r="P37" s="68">
        <f t="shared" si="7"/>
        <v>45862</v>
      </c>
      <c r="Q37" s="72">
        <v>120</v>
      </c>
      <c r="R37" s="72">
        <v>54</v>
      </c>
      <c r="S37" s="72"/>
    </row>
    <row r="38" spans="1:19" ht="22.5" x14ac:dyDescent="0.25">
      <c r="A38" s="28" t="s">
        <v>76</v>
      </c>
      <c r="B38" s="68">
        <v>45863</v>
      </c>
      <c r="C38" s="72"/>
      <c r="D38" s="72"/>
      <c r="E38" s="72"/>
      <c r="F38" s="60">
        <f t="shared" ref="F38:F40" si="8">SUM(C38:E38)</f>
        <v>0</v>
      </c>
      <c r="H38" s="28" t="s">
        <v>77</v>
      </c>
      <c r="I38" s="68">
        <v>45864</v>
      </c>
      <c r="J38" s="87"/>
      <c r="K38" s="87"/>
      <c r="L38" s="87"/>
      <c r="M38" s="60">
        <f t="shared" si="6"/>
        <v>0</v>
      </c>
      <c r="O38" s="28" t="s">
        <v>89</v>
      </c>
      <c r="P38" s="68">
        <f t="shared" si="7"/>
        <v>45863</v>
      </c>
      <c r="Q38" s="72"/>
      <c r="R38" s="72"/>
      <c r="S38" s="72"/>
    </row>
    <row r="39" spans="1:19" ht="22.5" x14ac:dyDescent="0.25">
      <c r="A39" s="28" t="s">
        <v>77</v>
      </c>
      <c r="B39" s="68">
        <v>45864</v>
      </c>
      <c r="C39" s="87"/>
      <c r="D39" s="87"/>
      <c r="E39" s="87"/>
      <c r="F39" s="60">
        <f t="shared" si="8"/>
        <v>0</v>
      </c>
      <c r="H39" s="28" t="s">
        <v>78</v>
      </c>
      <c r="I39" s="68">
        <v>45865</v>
      </c>
      <c r="J39" s="72"/>
      <c r="K39" s="72"/>
      <c r="L39" s="72"/>
      <c r="M39" s="60">
        <f t="shared" si="6"/>
        <v>0</v>
      </c>
      <c r="O39" s="28" t="s">
        <v>90</v>
      </c>
      <c r="P39" s="68">
        <f t="shared" si="7"/>
        <v>45864</v>
      </c>
      <c r="Q39" s="72"/>
      <c r="R39" s="72"/>
      <c r="S39" s="72"/>
    </row>
    <row r="40" spans="1:19" ht="22.5" x14ac:dyDescent="0.25">
      <c r="A40" s="28" t="s">
        <v>78</v>
      </c>
      <c r="B40" s="68">
        <v>45865</v>
      </c>
      <c r="C40" s="69"/>
      <c r="D40" s="72"/>
      <c r="E40" s="72"/>
      <c r="F40" s="60">
        <f t="shared" si="8"/>
        <v>0</v>
      </c>
      <c r="H40" s="28" t="s">
        <v>73</v>
      </c>
      <c r="I40" s="68">
        <v>45866</v>
      </c>
      <c r="J40" s="69"/>
      <c r="K40" s="72"/>
      <c r="L40" s="72"/>
      <c r="M40" s="60">
        <f t="shared" si="6"/>
        <v>0</v>
      </c>
      <c r="O40" s="28" t="s">
        <v>91</v>
      </c>
      <c r="P40" s="68">
        <f t="shared" si="7"/>
        <v>45865</v>
      </c>
      <c r="Q40" s="69"/>
      <c r="R40" s="72"/>
      <c r="S40" s="72"/>
    </row>
    <row r="41" spans="1:19" ht="22.5" x14ac:dyDescent="0.3">
      <c r="C41" s="64">
        <f>SUM(C34:C39)</f>
        <v>73</v>
      </c>
      <c r="D41" s="64">
        <f>SUM(D34:D39)</f>
        <v>0</v>
      </c>
      <c r="E41" s="64">
        <f>SUM(E34:E39)</f>
        <v>0</v>
      </c>
      <c r="F41" s="63">
        <f>SUM(C41:E41)</f>
        <v>73</v>
      </c>
      <c r="J41" s="64">
        <f>SUM(J34:J39)</f>
        <v>196</v>
      </c>
      <c r="K41" s="64">
        <f>SUM(K34:K39)</f>
        <v>313</v>
      </c>
      <c r="L41" s="64">
        <f>SUM(L34:L39)</f>
        <v>0</v>
      </c>
      <c r="M41" s="63">
        <f>SUM(J41:L41)</f>
        <v>509</v>
      </c>
      <c r="Q41" s="64">
        <f>SUM(Q34:Q39)</f>
        <v>120</v>
      </c>
      <c r="R41" s="64">
        <f>SUM(R34:R39)</f>
        <v>54</v>
      </c>
      <c r="S41" s="64">
        <f>SUM(S34:S39)</f>
        <v>0</v>
      </c>
    </row>
  </sheetData>
  <mergeCells count="12">
    <mergeCell ref="C26:E26"/>
    <mergeCell ref="J26:L26"/>
    <mergeCell ref="Q26:S26"/>
    <mergeCell ref="C30:E30"/>
    <mergeCell ref="J30:L30"/>
    <mergeCell ref="Q30:S30"/>
    <mergeCell ref="C2:E2"/>
    <mergeCell ref="J2:L2"/>
    <mergeCell ref="Q2:S2"/>
    <mergeCell ref="C6:E6"/>
    <mergeCell ref="J6:L6"/>
    <mergeCell ref="Q6:S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</vt:lpstr>
      <vt:lpstr>DATA</vt:lpstr>
      <vt:lpstr>SOLICITUD</vt:lpstr>
      <vt:lpstr>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2025-10-29T15:03:24Z</cp:lastPrinted>
  <dcterms:created xsi:type="dcterms:W3CDTF">2023-10-31T20:19:37Z</dcterms:created>
  <dcterms:modified xsi:type="dcterms:W3CDTF">2026-03-09T15:59:44Z</dcterms:modified>
  <dc:language>es-MX</dc:language>
</cp:coreProperties>
</file>