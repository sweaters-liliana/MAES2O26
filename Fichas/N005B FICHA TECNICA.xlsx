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INTIMIDEA\N005 IMITACION JASPE BLUSA MANGA CORTA CUELLO REDONDO\"/>
    </mc:Choice>
  </mc:AlternateContent>
  <xr:revisionPtr revIDLastSave="0" documentId="13_ncr:1_{797D7480-1DDB-43F3-9D4D-EF186892C37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1" l="1"/>
  <c r="G14" i="1"/>
  <c r="J14" i="1"/>
  <c r="P14" i="1"/>
  <c r="P82" i="1"/>
  <c r="P48" i="1"/>
  <c r="P116" i="1"/>
  <c r="M116" i="1"/>
  <c r="J116" i="1"/>
  <c r="G116" i="1"/>
</calcChain>
</file>

<file path=xl/sharedStrings.xml><?xml version="1.0" encoding="utf-8"?>
<sst xmlns="http://schemas.openxmlformats.org/spreadsheetml/2006/main" count="219" uniqueCount="91">
  <si>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</si>
  <si>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</si>
  <si>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</si>
  <si>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</si>
  <si>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</si>
  <si>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</si>
  <si>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</si>
  <si>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</si>
  <si>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</si>
  <si>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</si>
  <si>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</si>
  <si>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</si>
  <si>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</si>
  <si>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</si>
  <si>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</si>
  <si>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</si>
  <si>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</si>
  <si>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#6</t>
  </si>
  <si>
    <t>PESO+10%:</t>
  </si>
  <si>
    <t>TOP2V</t>
  </si>
  <si>
    <t>LICRA YUKI</t>
  </si>
  <si>
    <t>20/70/68</t>
  </si>
  <si>
    <t>70/68</t>
  </si>
  <si>
    <t>POLIESTER</t>
  </si>
  <si>
    <t>BLANCO</t>
  </si>
  <si>
    <t>PARES</t>
  </si>
  <si>
    <t>NONES</t>
  </si>
  <si>
    <t>BLUSA CUELLO REDONDO MANGA CORTA CON FORRO</t>
  </si>
  <si>
    <t>(IMITACION DE JASPE)</t>
  </si>
  <si>
    <t>TALLA:</t>
  </si>
  <si>
    <t>EXTRA GRANDE</t>
  </si>
  <si>
    <t>BLUSA</t>
  </si>
  <si>
    <t>MANGA CORTA</t>
  </si>
  <si>
    <t>FORRO</t>
  </si>
  <si>
    <t>COLLARETA</t>
  </si>
  <si>
    <t>N005B39X</t>
  </si>
  <si>
    <t>N005M39X</t>
  </si>
  <si>
    <t>N005F39X</t>
  </si>
  <si>
    <t>N005TUBO-39</t>
  </si>
  <si>
    <t>GRANDE</t>
  </si>
  <si>
    <t>N005B39G</t>
  </si>
  <si>
    <t>N005M39G</t>
  </si>
  <si>
    <t>N005F39G</t>
  </si>
  <si>
    <t>N005B38M</t>
  </si>
  <si>
    <t>N005M38M</t>
  </si>
  <si>
    <t>N005F38M</t>
  </si>
  <si>
    <t>MEDIANA</t>
  </si>
  <si>
    <t>CHICA</t>
  </si>
  <si>
    <t>N005B06C</t>
  </si>
  <si>
    <t>N005M06C</t>
  </si>
  <si>
    <t>N005F06C</t>
  </si>
  <si>
    <t>N005TUBO</t>
  </si>
  <si>
    <t>CIXING</t>
  </si>
  <si>
    <t>#5</t>
  </si>
  <si>
    <t>MAQ #6</t>
  </si>
  <si>
    <t>FICHA TECNICA</t>
  </si>
  <si>
    <t>DESARROLLO:</t>
  </si>
  <si>
    <t>INTIMIDEA</t>
  </si>
  <si>
    <t>MODELO:</t>
  </si>
  <si>
    <t>N005</t>
  </si>
  <si>
    <t>BLUSA MANGA CORTA</t>
  </si>
  <si>
    <t>SALEN  3 LIENSOS ( CUERPO,MANGA Y FORRO)</t>
  </si>
  <si>
    <t>RECTA:</t>
  </si>
  <si>
    <t>HACE 4 DESPUNTES EN HOMBROS</t>
  </si>
  <si>
    <t>CORTE:</t>
  </si>
  <si>
    <t>HOMBRO,SISAS,MANGAS</t>
  </si>
  <si>
    <t>OVERLOCK:</t>
  </si>
  <si>
    <t>HOMBRO</t>
  </si>
  <si>
    <t>MANGA</t>
  </si>
  <si>
    <t>ETIQUETA</t>
  </si>
  <si>
    <t>TAMPOGRAFIA</t>
  </si>
  <si>
    <t>(PARA QUE NO SE MUEVA EL FORRO EN LA COLLARETA)</t>
  </si>
  <si>
    <t>LICRA:</t>
  </si>
  <si>
    <t>YUKI 20/70/68</t>
  </si>
  <si>
    <t>NYLON:</t>
  </si>
  <si>
    <t>MAQUINA</t>
  </si>
  <si>
    <t>DIAMETRO</t>
  </si>
  <si>
    <t>CH</t>
  </si>
  <si>
    <t>PESO: CUERPO</t>
  </si>
  <si>
    <t>TIEMPO:
CUERPO</t>
  </si>
  <si>
    <t>PESO:
FORRO</t>
  </si>
  <si>
    <t>TIEMPO:
FORRO</t>
  </si>
  <si>
    <t>PESO:
MANGA</t>
  </si>
  <si>
    <t>TIEMPO:
MANGA</t>
  </si>
  <si>
    <t>6 CIXING</t>
  </si>
  <si>
    <t>M</t>
  </si>
  <si>
    <t>G</t>
  </si>
  <si>
    <t>EX</t>
  </si>
  <si>
    <t>39 TOP2V</t>
  </si>
  <si>
    <t>AREA DE HABILITACION:</t>
  </si>
  <si>
    <t>DESHEBRA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</si>
</sst>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12"/>
      <name val="Consolas"/>
      <family val="3"/>
    </font>
    <font>
      <sz val="18"/>
      <color theme="1"/>
      <name val="Consolas"/>
      <family val="3"/>
    </font>
    <font>
      <sz val="18"/>
      <name val="Consolas"/>
      <family val="3"/>
    </font>
    <font>
      <sz val="14"/>
      <name val="Consolas"/>
      <family val="3"/>
    </font>
    <font>
      <b/>
      <sz val="18"/>
      <color rgb="FF000000"/>
      <name val="Consolas"/>
      <family val="3"/>
    </font>
    <font>
      <b/>
      <sz val="24"/>
      <color rgb="FF000000"/>
      <name val="Consolas"/>
      <family val="3"/>
    </font>
    <font>
      <b/>
      <sz val="24"/>
      <color theme="0"/>
      <name val="Consolas"/>
      <family val="3"/>
    </font>
    <font>
      <b/>
      <sz val="20"/>
      <color rgb="FF000000"/>
      <name val="Consolas"/>
      <family val="3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11"/>
      <color theme="1"/>
      <name val="Arial Black"/>
      <family val="2"/>
    </font>
    <font>
      <b/>
      <sz val="9"/>
      <color theme="1"/>
      <name val="Arial Black"/>
      <family val="2"/>
    </font>
    <font>
      <b/>
      <sz val="10"/>
      <color theme="1"/>
      <name val="Arial Black"/>
      <family val="2"/>
    </font>
    <font>
      <sz val="9"/>
      <color theme="1"/>
      <name val="Calibri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lightVertical">
        <fgColor theme="0"/>
        <bgColor theme="0"/>
      </patternFill>
    </fill>
    <fill>
      <patternFill patternType="mediumGray">
        <fgColor theme="0"/>
        <bgColor theme="0"/>
      </patternFill>
    </fill>
    <fill>
      <patternFill patternType="solid">
        <fgColor theme="3" tint="0.34998626667073579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65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/>
    <xf numFmtId="0" fontId="1" fillId="0" borderId="0" xfId="0" applyFont="1"/>
    <xf numFmtId="0" fontId="24" fillId="9" borderId="5" xfId="0" applyFont="1" applyFill="1" applyBorder="1" applyAlignment="1">
      <alignment vertical="center" wrapText="1"/>
    </xf>
    <xf numFmtId="0" fontId="24" fillId="9" borderId="1" xfId="0" applyFont="1" applyFill="1" applyBorder="1" applyAlignment="1">
      <alignment vertical="center" wrapText="1"/>
    </xf>
    <xf numFmtId="0" fontId="24" fillId="9" borderId="2" xfId="0" applyFont="1" applyFill="1" applyBorder="1" applyAlignment="1">
      <alignment vertical="center" wrapText="1"/>
    </xf>
    <xf numFmtId="0" fontId="24" fillId="9" borderId="6" xfId="0" applyFont="1" applyFill="1" applyBorder="1" applyAlignment="1">
      <alignment vertical="center" wrapText="1"/>
    </xf>
    <xf numFmtId="0" fontId="24" fillId="9" borderId="3" xfId="0" applyFont="1" applyFill="1" applyBorder="1" applyAlignment="1">
      <alignment vertical="center" wrapText="1"/>
    </xf>
    <xf numFmtId="0" fontId="24" fillId="9" borderId="4" xfId="0" applyFont="1" applyFill="1" applyBorder="1" applyAlignment="1">
      <alignment vertical="center" wrapTex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30" fillId="0" borderId="0" xfId="0" applyFont="1"/>
    <xf numFmtId="0" fontId="29" fillId="12" borderId="0" xfId="0" applyFont="1" applyFill="1"/>
    <xf numFmtId="0" fontId="31" fillId="0" borderId="0" xfId="0" applyFont="1"/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/>
    </xf>
    <xf numFmtId="0" fontId="28" fillId="13" borderId="0" xfId="0" applyFont="1" applyFill="1" applyAlignment="1">
      <alignment horizontal="center"/>
    </xf>
    <xf numFmtId="0" fontId="32" fillId="0" borderId="0" xfId="0" applyFont="1"/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49" fontId="11" fillId="7" borderId="12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49" fontId="11" fillId="7" borderId="7" xfId="0" applyNumberFormat="1" applyFont="1" applyFill="1" applyBorder="1" applyAlignment="1">
      <alignment horizontal="center" vertical="center" wrapText="1"/>
    </xf>
    <xf numFmtId="49" fontId="11" fillId="7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164" fontId="15" fillId="10" borderId="5" xfId="0" applyNumberFormat="1" applyFont="1" applyFill="1" applyBorder="1" applyAlignment="1">
      <alignment horizontal="center" vertical="center" wrapText="1"/>
    </xf>
    <xf numFmtId="164" fontId="15" fillId="10" borderId="1" xfId="0" applyNumberFormat="1" applyFont="1" applyFill="1" applyBorder="1" applyAlignment="1">
      <alignment horizontal="center" vertical="center" wrapText="1"/>
    </xf>
    <xf numFmtId="164" fontId="15" fillId="10" borderId="6" xfId="0" applyNumberFormat="1" applyFont="1" applyFill="1" applyBorder="1" applyAlignment="1">
      <alignment horizontal="center" vertical="center" wrapText="1"/>
    </xf>
    <xf numFmtId="164" fontId="15" fillId="10" borderId="3" xfId="0" applyNumberFormat="1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45" fontId="15" fillId="10" borderId="5" xfId="0" applyNumberFormat="1" applyFont="1" applyFill="1" applyBorder="1" applyAlignment="1">
      <alignment horizontal="center" vertical="center" wrapText="1"/>
    </xf>
    <xf numFmtId="45" fontId="15" fillId="10" borderId="1" xfId="0" applyNumberFormat="1" applyFont="1" applyFill="1" applyBorder="1" applyAlignment="1">
      <alignment horizontal="center" vertical="center" wrapText="1"/>
    </xf>
    <xf numFmtId="45" fontId="15" fillId="10" borderId="6" xfId="0" applyNumberFormat="1" applyFont="1" applyFill="1" applyBorder="1" applyAlignment="1">
      <alignment horizontal="center" vertical="center" wrapText="1"/>
    </xf>
    <xf numFmtId="45" fontId="15" fillId="10" borderId="3" xfId="0" applyNumberFormat="1" applyFont="1" applyFill="1" applyBorder="1" applyAlignment="1">
      <alignment horizontal="center" vertical="center" wrapText="1"/>
    </xf>
    <xf numFmtId="46" fontId="18" fillId="10" borderId="2" xfId="0" applyNumberFormat="1" applyFont="1" applyFill="1" applyBorder="1" applyAlignment="1">
      <alignment horizontal="center" vertical="center" wrapText="1"/>
    </xf>
    <xf numFmtId="46" fontId="18" fillId="10" borderId="4" xfId="0" applyNumberFormat="1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10" xfId="0" applyFont="1" applyFill="1" applyBorder="1" applyAlignment="1">
      <alignment horizontal="center" vertical="center" wrapText="1"/>
    </xf>
    <xf numFmtId="0" fontId="17" fillId="11" borderId="0" xfId="0" applyFont="1" applyFill="1" applyBorder="1" applyAlignment="1">
      <alignment horizontal="center" vertical="center" wrapText="1"/>
    </xf>
    <xf numFmtId="0" fontId="17" fillId="11" borderId="11" xfId="0" applyFont="1" applyFill="1" applyBorder="1" applyAlignment="1">
      <alignment horizontal="center" vertical="center" wrapText="1"/>
    </xf>
    <xf numFmtId="0" fontId="22" fillId="11" borderId="10" xfId="0" applyFont="1" applyFill="1" applyBorder="1" applyAlignment="1">
      <alignment horizontal="center" vertical="center" wrapText="1"/>
    </xf>
    <xf numFmtId="0" fontId="22" fillId="11" borderId="0" xfId="0" applyFont="1" applyFill="1" applyBorder="1" applyAlignment="1">
      <alignment horizontal="center" vertical="center" wrapText="1"/>
    </xf>
    <xf numFmtId="0" fontId="22" fillId="11" borderId="11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8" fillId="8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20" fillId="8" borderId="13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49" fontId="21" fillId="8" borderId="12" xfId="0" applyNumberFormat="1" applyFont="1" applyFill="1" applyBorder="1" applyAlignment="1">
      <alignment horizontal="center" vertical="center" wrapText="1"/>
    </xf>
    <xf numFmtId="49" fontId="21" fillId="8" borderId="2" xfId="0" applyNumberFormat="1" applyFont="1" applyFill="1" applyBorder="1" applyAlignment="1">
      <alignment horizontal="center" vertical="center" wrapText="1"/>
    </xf>
    <xf numFmtId="49" fontId="21" fillId="8" borderId="7" xfId="0" applyNumberFormat="1" applyFont="1" applyFill="1" applyBorder="1" applyAlignment="1">
      <alignment horizontal="center" vertical="center" wrapText="1"/>
    </xf>
    <xf numFmtId="49" fontId="21" fillId="8" borderId="4" xfId="0" applyNumberFormat="1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12" borderId="0" xfId="0" applyFont="1" applyFill="1" applyAlignment="1">
      <alignment horizontal="center"/>
    </xf>
    <xf numFmtId="0" fontId="33" fillId="0" borderId="0" xfId="0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28575</xdr:rowOff>
    </xdr:from>
    <xdr:to>
      <xdr:col>3</xdr:col>
      <xdr:colOff>1095375</xdr:colOff>
      <xdr:row>17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281A2D5-51DC-4CF0-9333-5A2F39D835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4" t="3434" r="11923" b="18884"/>
        <a:stretch/>
      </xdr:blipFill>
      <xdr:spPr>
        <a:xfrm>
          <a:off x="57150" y="647700"/>
          <a:ext cx="1876425" cy="3086100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37</xdr:row>
      <xdr:rowOff>28575</xdr:rowOff>
    </xdr:from>
    <xdr:ext cx="2024496" cy="3019425"/>
    <xdr:pic>
      <xdr:nvPicPr>
        <xdr:cNvPr id="3" name="Imagen 2">
          <a:extLst>
            <a:ext uri="{FF2B5EF4-FFF2-40B4-BE49-F238E27FC236}">
              <a16:creationId xmlns:a16="http://schemas.microsoft.com/office/drawing/2014/main" id="{0EFFCCAE-D1C5-4BF3-BA29-B92D57B61A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4" t="3434" r="11923" b="18884"/>
        <a:stretch/>
      </xdr:blipFill>
      <xdr:spPr>
        <a:xfrm>
          <a:off x="53686" y="8878166"/>
          <a:ext cx="2024496" cy="301942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</xdr:row>
      <xdr:rowOff>28575</xdr:rowOff>
    </xdr:from>
    <xdr:ext cx="2024496" cy="3019425"/>
    <xdr:pic>
      <xdr:nvPicPr>
        <xdr:cNvPr id="5" name="Imagen 4">
          <a:extLst>
            <a:ext uri="{FF2B5EF4-FFF2-40B4-BE49-F238E27FC236}">
              <a16:creationId xmlns:a16="http://schemas.microsoft.com/office/drawing/2014/main" id="{7E7EA493-B7A9-4156-9822-326F5B019B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4" t="3434" r="11923" b="18884"/>
        <a:stretch/>
      </xdr:blipFill>
      <xdr:spPr>
        <a:xfrm>
          <a:off x="53686" y="17104302"/>
          <a:ext cx="2024496" cy="301942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105</xdr:row>
      <xdr:rowOff>28575</xdr:rowOff>
    </xdr:from>
    <xdr:ext cx="2024496" cy="3019425"/>
    <xdr:pic>
      <xdr:nvPicPr>
        <xdr:cNvPr id="6" name="Imagen 5">
          <a:extLst>
            <a:ext uri="{FF2B5EF4-FFF2-40B4-BE49-F238E27FC236}">
              <a16:creationId xmlns:a16="http://schemas.microsoft.com/office/drawing/2014/main" id="{6ED2BA17-97E9-41DE-B27B-A96AD9D5CC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4" t="3434" r="11923" b="18884"/>
        <a:stretch/>
      </xdr:blipFill>
      <xdr:spPr>
        <a:xfrm>
          <a:off x="53686" y="25330439"/>
          <a:ext cx="2024496" cy="3019425"/>
        </a:xfrm>
        <a:prstGeom prst="rect">
          <a:avLst/>
        </a:prstGeom>
      </xdr:spPr>
    </xdr:pic>
    <xdr:clientData/>
  </xdr:oneCellAnchor>
  <xdr:twoCellAnchor>
    <xdr:from>
      <xdr:col>16</xdr:col>
      <xdr:colOff>328450</xdr:colOff>
      <xdr:row>8</xdr:row>
      <xdr:rowOff>118243</xdr:rowOff>
    </xdr:from>
    <xdr:to>
      <xdr:col>17</xdr:col>
      <xdr:colOff>137948</xdr:colOff>
      <xdr:row>10</xdr:row>
      <xdr:rowOff>13137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id="{839C5350-A94C-4662-9ACF-96E5C81B9D5A}"/>
            </a:ext>
          </a:extLst>
        </xdr:cNvPr>
        <xdr:cNvCxnSpPr/>
      </xdr:nvCxnSpPr>
      <xdr:spPr>
        <a:xfrm rot="16200000" flipH="1">
          <a:off x="8858252" y="1632389"/>
          <a:ext cx="394135" cy="387567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11</xdr:row>
      <xdr:rowOff>0</xdr:rowOff>
    </xdr:from>
    <xdr:to>
      <xdr:col>9</xdr:col>
      <xdr:colOff>302625</xdr:colOff>
      <xdr:row>22</xdr:row>
      <xdr:rowOff>32025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44E6A2-5436-2C00-A630-48E0D018A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0" y="2905125"/>
          <a:ext cx="2160000" cy="2880000"/>
        </a:xfrm>
        <a:prstGeom prst="rect">
          <a:avLst/>
        </a:prstGeom>
      </xdr:spPr>
    </xdr:pic>
    <xdr:clientData/>
  </xdr:twoCellAnchor>
  <xdr:twoCellAnchor editAs="oneCell">
    <xdr:from>
      <xdr:col>9</xdr:col>
      <xdr:colOff>866775</xdr:colOff>
      <xdr:row>11</xdr:row>
      <xdr:rowOff>9525</xdr:rowOff>
    </xdr:from>
    <xdr:to>
      <xdr:col>12</xdr:col>
      <xdr:colOff>226425</xdr:colOff>
      <xdr:row>22</xdr:row>
      <xdr:rowOff>41550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90D2A95-C993-1B85-BEC6-9D28B04A9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2914650"/>
          <a:ext cx="2160000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2"/>
  <sheetViews>
    <sheetView showGridLines="0" zoomScale="90" zoomScaleNormal="90" workbookViewId="0">
      <selection activeCell="V20" sqref="V20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6.5703125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9" width="0.7109375" style="1" customWidth="1"/>
    <col min="20" max="16384" width="14.42578125" style="1"/>
  </cols>
  <sheetData>
    <row r="1" spans="1:18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91" t="s">
        <v>1</v>
      </c>
      <c r="C2" s="92"/>
      <c r="D2" s="93"/>
      <c r="E2" s="97" t="s">
        <v>2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</row>
    <row r="3" spans="1:18" ht="21.95" customHeight="1" thickBot="1" x14ac:dyDescent="0.3">
      <c r="B3" s="94"/>
      <c r="C3" s="95"/>
      <c r="D3" s="96"/>
      <c r="E3" s="100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2"/>
    </row>
    <row r="4" spans="1:18" ht="12.95" customHeight="1" x14ac:dyDescent="0.25">
      <c r="B4" s="29"/>
      <c r="C4" s="30"/>
      <c r="D4" s="31"/>
      <c r="E4" s="62" t="s">
        <v>27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4"/>
    </row>
    <row r="5" spans="1:18" ht="12.95" customHeight="1" x14ac:dyDescent="0.25">
      <c r="B5" s="32"/>
      <c r="C5" s="33"/>
      <c r="D5" s="34"/>
      <c r="E5" s="65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7"/>
    </row>
    <row r="6" spans="1:18" ht="20.25" customHeight="1" x14ac:dyDescent="0.25">
      <c r="B6" s="32"/>
      <c r="C6" s="33"/>
      <c r="D6" s="34"/>
      <c r="E6" s="68" t="s">
        <v>28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70"/>
    </row>
    <row r="7" spans="1:18" ht="4.5" customHeight="1" thickBot="1" x14ac:dyDescent="0.3">
      <c r="B7" s="32"/>
      <c r="C7" s="33"/>
      <c r="D7" s="34"/>
      <c r="E7" s="71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3"/>
    </row>
    <row r="8" spans="1:18" ht="20.100000000000001" customHeight="1" x14ac:dyDescent="0.25">
      <c r="B8" s="32"/>
      <c r="C8" s="33"/>
      <c r="D8" s="34"/>
      <c r="E8" s="103" t="s">
        <v>29</v>
      </c>
      <c r="F8" s="104"/>
      <c r="G8" s="142"/>
      <c r="H8" s="143"/>
      <c r="I8" s="143"/>
      <c r="J8" s="143" t="s">
        <v>47</v>
      </c>
      <c r="K8" s="143"/>
      <c r="L8" s="143"/>
      <c r="M8" s="143"/>
      <c r="N8" s="143"/>
      <c r="O8" s="143"/>
      <c r="P8" s="148" t="s">
        <v>54</v>
      </c>
      <c r="Q8" s="143"/>
      <c r="R8" s="144"/>
    </row>
    <row r="9" spans="1:18" ht="20.100000000000001" customHeight="1" thickBot="1" x14ac:dyDescent="0.3">
      <c r="B9" s="32"/>
      <c r="C9" s="33"/>
      <c r="D9" s="34"/>
      <c r="E9" s="105"/>
      <c r="F9" s="106"/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7"/>
    </row>
    <row r="10" spans="1:18" ht="20.100000000000001" customHeight="1" x14ac:dyDescent="0.25">
      <c r="B10" s="32"/>
      <c r="C10" s="33"/>
      <c r="D10" s="34"/>
      <c r="E10" s="103" t="s">
        <v>3</v>
      </c>
      <c r="F10" s="104"/>
      <c r="G10" s="44" t="s">
        <v>31</v>
      </c>
      <c r="H10" s="45"/>
      <c r="I10" s="46"/>
      <c r="J10" s="44" t="s">
        <v>32</v>
      </c>
      <c r="K10" s="45"/>
      <c r="L10" s="46"/>
      <c r="M10" s="44" t="s">
        <v>33</v>
      </c>
      <c r="N10" s="45"/>
      <c r="O10" s="46"/>
      <c r="P10" s="44" t="s">
        <v>34</v>
      </c>
      <c r="Q10" s="45"/>
      <c r="R10" s="46"/>
    </row>
    <row r="11" spans="1:18" ht="20.100000000000001" customHeight="1" thickBot="1" x14ac:dyDescent="0.3">
      <c r="B11" s="32"/>
      <c r="C11" s="33"/>
      <c r="D11" s="34"/>
      <c r="E11" s="105"/>
      <c r="F11" s="106"/>
      <c r="G11" s="47"/>
      <c r="H11" s="48"/>
      <c r="I11" s="49"/>
      <c r="J11" s="47"/>
      <c r="K11" s="48"/>
      <c r="L11" s="49"/>
      <c r="M11" s="47"/>
      <c r="N11" s="48"/>
      <c r="O11" s="49"/>
      <c r="P11" s="47"/>
      <c r="Q11" s="48"/>
      <c r="R11" s="49"/>
    </row>
    <row r="12" spans="1:18" ht="20.100000000000001" customHeight="1" x14ac:dyDescent="0.25">
      <c r="B12" s="32"/>
      <c r="C12" s="33"/>
      <c r="D12" s="34"/>
      <c r="E12" s="117" t="s">
        <v>4</v>
      </c>
      <c r="F12" s="118"/>
      <c r="G12" s="44" t="s">
        <v>48</v>
      </c>
      <c r="H12" s="45"/>
      <c r="I12" s="46"/>
      <c r="J12" s="44" t="s">
        <v>49</v>
      </c>
      <c r="K12" s="45"/>
      <c r="L12" s="46"/>
      <c r="M12" s="44" t="s">
        <v>50</v>
      </c>
      <c r="N12" s="45"/>
      <c r="O12" s="46"/>
      <c r="P12" s="44" t="s">
        <v>51</v>
      </c>
      <c r="Q12" s="45"/>
      <c r="R12" s="46"/>
    </row>
    <row r="13" spans="1:18" ht="20.100000000000001" customHeight="1" thickBot="1" x14ac:dyDescent="0.3">
      <c r="B13" s="32"/>
      <c r="C13" s="33"/>
      <c r="D13" s="34"/>
      <c r="E13" s="119"/>
      <c r="F13" s="120"/>
      <c r="G13" s="47"/>
      <c r="H13" s="48"/>
      <c r="I13" s="49"/>
      <c r="J13" s="47"/>
      <c r="K13" s="48"/>
      <c r="L13" s="49"/>
      <c r="M13" s="47"/>
      <c r="N13" s="48"/>
      <c r="O13" s="49"/>
      <c r="P13" s="47"/>
      <c r="Q13" s="48"/>
      <c r="R13" s="49"/>
    </row>
    <row r="14" spans="1:18" ht="20.100000000000001" customHeight="1" x14ac:dyDescent="0.25">
      <c r="B14" s="32"/>
      <c r="C14" s="33"/>
      <c r="D14" s="34"/>
      <c r="E14" s="117" t="s">
        <v>18</v>
      </c>
      <c r="F14" s="118"/>
      <c r="G14" s="50">
        <f>96*110%</f>
        <v>105.60000000000001</v>
      </c>
      <c r="H14" s="51"/>
      <c r="I14" s="54" t="s">
        <v>5</v>
      </c>
      <c r="J14" s="50">
        <f>27*110%</f>
        <v>29.700000000000003</v>
      </c>
      <c r="K14" s="51"/>
      <c r="L14" s="54" t="s">
        <v>5</v>
      </c>
      <c r="M14" s="50">
        <f>70*110%</f>
        <v>77</v>
      </c>
      <c r="N14" s="51"/>
      <c r="O14" s="54" t="s">
        <v>5</v>
      </c>
      <c r="P14" s="50">
        <f>185*110%</f>
        <v>203.50000000000003</v>
      </c>
      <c r="Q14" s="51"/>
      <c r="R14" s="54" t="s">
        <v>5</v>
      </c>
    </row>
    <row r="15" spans="1:18" ht="20.100000000000001" customHeight="1" thickBot="1" x14ac:dyDescent="0.3">
      <c r="B15" s="32"/>
      <c r="C15" s="33"/>
      <c r="D15" s="34"/>
      <c r="E15" s="119"/>
      <c r="F15" s="120"/>
      <c r="G15" s="52"/>
      <c r="H15" s="53"/>
      <c r="I15" s="55"/>
      <c r="J15" s="52"/>
      <c r="K15" s="53"/>
      <c r="L15" s="55"/>
      <c r="M15" s="52"/>
      <c r="N15" s="53"/>
      <c r="O15" s="55"/>
      <c r="P15" s="52"/>
      <c r="Q15" s="53"/>
      <c r="R15" s="55"/>
    </row>
    <row r="16" spans="1:18" ht="20.100000000000001" customHeight="1" x14ac:dyDescent="0.25">
      <c r="B16" s="32"/>
      <c r="C16" s="33"/>
      <c r="D16" s="34"/>
      <c r="E16" s="103" t="s">
        <v>6</v>
      </c>
      <c r="F16" s="104"/>
      <c r="G16" s="56">
        <v>2.8124999999999999E-3</v>
      </c>
      <c r="H16" s="57"/>
      <c r="I16" s="60" t="s">
        <v>7</v>
      </c>
      <c r="J16" s="56">
        <v>1.4467592592592592E-3</v>
      </c>
      <c r="K16" s="57"/>
      <c r="L16" s="60" t="s">
        <v>7</v>
      </c>
      <c r="M16" s="56">
        <v>2.3379629629629631E-3</v>
      </c>
      <c r="N16" s="57"/>
      <c r="O16" s="60" t="s">
        <v>7</v>
      </c>
      <c r="P16" s="56">
        <v>4.6643518518518518E-3</v>
      </c>
      <c r="Q16" s="57"/>
      <c r="R16" s="60" t="s">
        <v>7</v>
      </c>
    </row>
    <row r="17" spans="2:18" ht="20.100000000000001" customHeight="1" thickBot="1" x14ac:dyDescent="0.3">
      <c r="B17" s="35"/>
      <c r="C17" s="36"/>
      <c r="D17" s="37"/>
      <c r="E17" s="105"/>
      <c r="F17" s="106"/>
      <c r="G17" s="58"/>
      <c r="H17" s="59"/>
      <c r="I17" s="61"/>
      <c r="J17" s="58"/>
      <c r="K17" s="59"/>
      <c r="L17" s="61"/>
      <c r="M17" s="58"/>
      <c r="N17" s="59"/>
      <c r="O17" s="61"/>
      <c r="P17" s="58"/>
      <c r="Q17" s="59"/>
      <c r="R17" s="61"/>
    </row>
    <row r="18" spans="2:18" ht="21.95" customHeight="1" x14ac:dyDescent="0.25">
      <c r="B18" s="107" t="s">
        <v>11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9"/>
    </row>
    <row r="19" spans="2:18" ht="21.95" customHeight="1" thickBot="1" x14ac:dyDescent="0.3">
      <c r="B19" s="110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2"/>
    </row>
    <row r="20" spans="2:18" ht="21.95" customHeight="1" x14ac:dyDescent="0.25">
      <c r="B20" s="84" t="s">
        <v>13</v>
      </c>
      <c r="C20" s="113"/>
      <c r="D20" s="113"/>
      <c r="E20" s="113"/>
      <c r="F20" s="114"/>
      <c r="G20" s="74" t="s">
        <v>52</v>
      </c>
      <c r="H20" s="75"/>
      <c r="I20" s="75"/>
      <c r="J20" s="74"/>
      <c r="K20" s="75"/>
      <c r="L20" s="75"/>
      <c r="M20" s="3"/>
      <c r="N20" s="4"/>
      <c r="O20" s="5"/>
      <c r="P20" s="3"/>
      <c r="Q20" s="4"/>
      <c r="R20" s="5"/>
    </row>
    <row r="21" spans="2:18" ht="21.95" customHeight="1" thickBot="1" x14ac:dyDescent="0.3">
      <c r="B21" s="86"/>
      <c r="C21" s="115"/>
      <c r="D21" s="115"/>
      <c r="E21" s="115"/>
      <c r="F21" s="116"/>
      <c r="G21" s="76"/>
      <c r="H21" s="77"/>
      <c r="I21" s="77"/>
      <c r="J21" s="76"/>
      <c r="K21" s="77"/>
      <c r="L21" s="77"/>
      <c r="M21" s="6"/>
      <c r="N21" s="7"/>
      <c r="O21" s="8"/>
      <c r="P21" s="6"/>
      <c r="Q21" s="7"/>
      <c r="R21" s="8"/>
    </row>
    <row r="22" spans="2:18" ht="21.95" customHeight="1" x14ac:dyDescent="0.25">
      <c r="B22" s="84" t="s">
        <v>10</v>
      </c>
      <c r="C22" s="85"/>
      <c r="D22" s="78" t="s">
        <v>8</v>
      </c>
      <c r="E22" s="79"/>
      <c r="F22" s="80"/>
      <c r="G22" s="121" t="s">
        <v>14</v>
      </c>
      <c r="H22" s="123" t="s">
        <v>12</v>
      </c>
      <c r="I22" s="124"/>
      <c r="J22" s="38"/>
      <c r="K22" s="40"/>
      <c r="L22" s="41"/>
      <c r="M22" s="38"/>
      <c r="N22" s="40"/>
      <c r="O22" s="41"/>
      <c r="P22" s="38"/>
      <c r="Q22" s="40"/>
      <c r="R22" s="41"/>
    </row>
    <row r="23" spans="2:18" ht="21.95" customHeight="1" thickBot="1" x14ac:dyDescent="0.3">
      <c r="B23" s="86"/>
      <c r="C23" s="87"/>
      <c r="D23" s="81"/>
      <c r="E23" s="82"/>
      <c r="F23" s="83"/>
      <c r="G23" s="122"/>
      <c r="H23" s="125"/>
      <c r="I23" s="126"/>
      <c r="J23" s="39"/>
      <c r="K23" s="42"/>
      <c r="L23" s="43"/>
      <c r="M23" s="39"/>
      <c r="N23" s="42"/>
      <c r="O23" s="43"/>
      <c r="P23" s="39"/>
      <c r="Q23" s="42"/>
      <c r="R23" s="43"/>
    </row>
    <row r="24" spans="2:18" ht="21.95" customHeight="1" x14ac:dyDescent="0.25">
      <c r="B24" s="19">
        <v>0.52</v>
      </c>
      <c r="C24" s="20"/>
      <c r="D24" s="88" t="s">
        <v>20</v>
      </c>
      <c r="E24" s="89"/>
      <c r="F24" s="90"/>
      <c r="G24" s="127" t="s">
        <v>16</v>
      </c>
      <c r="H24" s="129" t="s">
        <v>9</v>
      </c>
      <c r="I24" s="130"/>
      <c r="J24" s="23"/>
      <c r="K24" s="25"/>
      <c r="L24" s="26"/>
      <c r="M24" s="23"/>
      <c r="N24" s="25"/>
      <c r="O24" s="26"/>
      <c r="P24" s="23"/>
      <c r="Q24" s="25"/>
      <c r="R24" s="26"/>
    </row>
    <row r="25" spans="2:18" ht="21.95" customHeight="1" thickBot="1" x14ac:dyDescent="0.3">
      <c r="B25" s="21"/>
      <c r="C25" s="22"/>
      <c r="D25" s="133" t="s">
        <v>21</v>
      </c>
      <c r="E25" s="134"/>
      <c r="F25" s="135"/>
      <c r="G25" s="128"/>
      <c r="H25" s="131"/>
      <c r="I25" s="132"/>
      <c r="J25" s="24"/>
      <c r="K25" s="27"/>
      <c r="L25" s="28"/>
      <c r="M25" s="24"/>
      <c r="N25" s="27"/>
      <c r="O25" s="28"/>
      <c r="P25" s="24"/>
      <c r="Q25" s="27"/>
      <c r="R25" s="28"/>
    </row>
    <row r="26" spans="2:18" ht="21.95" customHeight="1" x14ac:dyDescent="0.25">
      <c r="B26" s="19">
        <v>0.48</v>
      </c>
      <c r="C26" s="20"/>
      <c r="D26" s="88" t="s">
        <v>15</v>
      </c>
      <c r="E26" s="89"/>
      <c r="F26" s="90"/>
      <c r="G26" s="127" t="s">
        <v>53</v>
      </c>
      <c r="H26" s="129" t="s">
        <v>9</v>
      </c>
      <c r="I26" s="130"/>
      <c r="J26" s="23"/>
      <c r="K26" s="25"/>
      <c r="L26" s="26"/>
      <c r="M26" s="23"/>
      <c r="N26" s="25"/>
      <c r="O26" s="26"/>
      <c r="P26" s="23"/>
      <c r="Q26" s="25"/>
      <c r="R26" s="26"/>
    </row>
    <row r="27" spans="2:18" ht="21.95" customHeight="1" thickBot="1" x14ac:dyDescent="0.3">
      <c r="B27" s="21"/>
      <c r="C27" s="22"/>
      <c r="D27" s="133" t="s">
        <v>22</v>
      </c>
      <c r="E27" s="134"/>
      <c r="F27" s="135"/>
      <c r="G27" s="128"/>
      <c r="H27" s="131"/>
      <c r="I27" s="132"/>
      <c r="J27" s="24"/>
      <c r="K27" s="27"/>
      <c r="L27" s="28"/>
      <c r="M27" s="24"/>
      <c r="N27" s="27"/>
      <c r="O27" s="28"/>
      <c r="P27" s="24"/>
      <c r="Q27" s="27"/>
      <c r="R27" s="28"/>
    </row>
    <row r="28" spans="2:18" ht="21.95" customHeight="1" x14ac:dyDescent="0.25">
      <c r="B28" s="19"/>
      <c r="C28" s="20"/>
      <c r="D28" s="88"/>
      <c r="E28" s="89"/>
      <c r="F28" s="90"/>
      <c r="G28" s="127"/>
      <c r="H28" s="129"/>
      <c r="I28" s="130"/>
      <c r="J28" s="23"/>
      <c r="K28" s="25"/>
      <c r="L28" s="26"/>
      <c r="M28" s="23"/>
      <c r="N28" s="25"/>
      <c r="O28" s="26"/>
      <c r="P28" s="23"/>
      <c r="Q28" s="25"/>
      <c r="R28" s="26"/>
    </row>
    <row r="29" spans="2:18" ht="21.95" customHeight="1" thickBot="1" x14ac:dyDescent="0.3">
      <c r="B29" s="21"/>
      <c r="C29" s="22"/>
      <c r="D29" s="133"/>
      <c r="E29" s="134"/>
      <c r="F29" s="135"/>
      <c r="G29" s="128"/>
      <c r="H29" s="131"/>
      <c r="I29" s="132"/>
      <c r="J29" s="24"/>
      <c r="K29" s="27"/>
      <c r="L29" s="28"/>
      <c r="M29" s="24"/>
      <c r="N29" s="27"/>
      <c r="O29" s="28"/>
      <c r="P29" s="24"/>
      <c r="Q29" s="27"/>
      <c r="R29" s="28"/>
    </row>
    <row r="30" spans="2:18" ht="21.95" customHeight="1" x14ac:dyDescent="0.25">
      <c r="B30" s="19"/>
      <c r="C30" s="20"/>
      <c r="D30" s="136"/>
      <c r="E30" s="137"/>
      <c r="F30" s="138"/>
      <c r="G30" s="23"/>
      <c r="H30" s="25"/>
      <c r="I30" s="26"/>
      <c r="J30" s="23"/>
      <c r="K30" s="25"/>
      <c r="L30" s="26"/>
      <c r="M30" s="23"/>
      <c r="N30" s="25"/>
      <c r="O30" s="26"/>
      <c r="P30" s="23"/>
      <c r="Q30" s="25"/>
      <c r="R30" s="26"/>
    </row>
    <row r="31" spans="2:18" ht="21.95" customHeight="1" thickBot="1" x14ac:dyDescent="0.3">
      <c r="B31" s="21"/>
      <c r="C31" s="22"/>
      <c r="D31" s="139"/>
      <c r="E31" s="140"/>
      <c r="F31" s="141"/>
      <c r="G31" s="24"/>
      <c r="H31" s="27"/>
      <c r="I31" s="28"/>
      <c r="J31" s="24"/>
      <c r="K31" s="27"/>
      <c r="L31" s="28"/>
      <c r="M31" s="24"/>
      <c r="N31" s="27"/>
      <c r="O31" s="28"/>
      <c r="P31" s="24"/>
      <c r="Q31" s="27"/>
      <c r="R31" s="28"/>
    </row>
    <row r="32" spans="2:18" ht="21.95" customHeight="1" x14ac:dyDescent="0.25">
      <c r="B32" s="19"/>
      <c r="C32" s="20"/>
      <c r="D32" s="136"/>
      <c r="E32" s="137"/>
      <c r="F32" s="138"/>
      <c r="G32" s="23"/>
      <c r="H32" s="25"/>
      <c r="I32" s="26"/>
      <c r="J32" s="23"/>
      <c r="K32" s="25"/>
      <c r="L32" s="26"/>
      <c r="M32" s="23"/>
      <c r="N32" s="25"/>
      <c r="O32" s="26"/>
      <c r="P32" s="23"/>
      <c r="Q32" s="25"/>
      <c r="R32" s="26"/>
    </row>
    <row r="33" spans="1:18" ht="21.95" customHeight="1" thickBot="1" x14ac:dyDescent="0.3">
      <c r="B33" s="21"/>
      <c r="C33" s="22"/>
      <c r="D33" s="139"/>
      <c r="E33" s="140"/>
      <c r="F33" s="141"/>
      <c r="G33" s="24"/>
      <c r="H33" s="27"/>
      <c r="I33" s="28"/>
      <c r="J33" s="24"/>
      <c r="K33" s="27"/>
      <c r="L33" s="28"/>
      <c r="M33" s="24"/>
      <c r="N33" s="27"/>
      <c r="O33" s="28"/>
      <c r="P33" s="24"/>
      <c r="Q33" s="27"/>
      <c r="R33" s="28"/>
    </row>
    <row r="34" spans="1:18" ht="9" customHeight="1" x14ac:dyDescent="0.25"/>
    <row r="35" spans="1:18" ht="5.25" customHeight="1" thickBot="1" x14ac:dyDescent="0.3">
      <c r="A35" s="1" t="s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21.95" customHeight="1" x14ac:dyDescent="0.25">
      <c r="B36" s="91" t="s">
        <v>1</v>
      </c>
      <c r="C36" s="92"/>
      <c r="D36" s="93"/>
      <c r="E36" s="97" t="s">
        <v>2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9"/>
    </row>
    <row r="37" spans="1:18" ht="21.95" customHeight="1" thickBot="1" x14ac:dyDescent="0.3">
      <c r="B37" s="94"/>
      <c r="C37" s="95"/>
      <c r="D37" s="96"/>
      <c r="E37" s="100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2"/>
    </row>
    <row r="38" spans="1:18" ht="12.95" customHeight="1" x14ac:dyDescent="0.25">
      <c r="B38" s="29"/>
      <c r="C38" s="30"/>
      <c r="D38" s="31"/>
      <c r="E38" s="62" t="s">
        <v>27</v>
      </c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4"/>
    </row>
    <row r="39" spans="1:18" ht="12.95" customHeight="1" x14ac:dyDescent="0.25">
      <c r="B39" s="32"/>
      <c r="C39" s="33"/>
      <c r="D39" s="34"/>
      <c r="E39" s="65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7"/>
    </row>
    <row r="40" spans="1:18" ht="20.25" customHeight="1" x14ac:dyDescent="0.25">
      <c r="B40" s="32"/>
      <c r="C40" s="33"/>
      <c r="D40" s="34"/>
      <c r="E40" s="68" t="s">
        <v>28</v>
      </c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70"/>
    </row>
    <row r="41" spans="1:18" ht="4.5" customHeight="1" thickBot="1" x14ac:dyDescent="0.3">
      <c r="B41" s="32"/>
      <c r="C41" s="33"/>
      <c r="D41" s="34"/>
      <c r="E41" s="71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3"/>
    </row>
    <row r="42" spans="1:18" ht="20.100000000000001" customHeight="1" x14ac:dyDescent="0.25">
      <c r="B42" s="32"/>
      <c r="C42" s="33"/>
      <c r="D42" s="34"/>
      <c r="E42" s="103" t="s">
        <v>29</v>
      </c>
      <c r="F42" s="104"/>
      <c r="G42" s="142" t="s">
        <v>46</v>
      </c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4"/>
    </row>
    <row r="43" spans="1:18" ht="20.100000000000001" customHeight="1" thickBot="1" x14ac:dyDescent="0.3">
      <c r="B43" s="32"/>
      <c r="C43" s="33"/>
      <c r="D43" s="34"/>
      <c r="E43" s="105"/>
      <c r="F43" s="106"/>
      <c r="G43" s="145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7"/>
    </row>
    <row r="44" spans="1:18" ht="20.100000000000001" customHeight="1" x14ac:dyDescent="0.25">
      <c r="B44" s="32"/>
      <c r="C44" s="33"/>
      <c r="D44" s="34"/>
      <c r="E44" s="103" t="s">
        <v>3</v>
      </c>
      <c r="F44" s="104"/>
      <c r="G44" s="44" t="s">
        <v>31</v>
      </c>
      <c r="H44" s="45"/>
      <c r="I44" s="46"/>
      <c r="J44" s="44" t="s">
        <v>32</v>
      </c>
      <c r="K44" s="45"/>
      <c r="L44" s="46"/>
      <c r="M44" s="44" t="s">
        <v>33</v>
      </c>
      <c r="N44" s="45"/>
      <c r="O44" s="46"/>
      <c r="P44" s="44" t="s">
        <v>34</v>
      </c>
      <c r="Q44" s="45"/>
      <c r="R44" s="46"/>
    </row>
    <row r="45" spans="1:18" ht="20.100000000000001" customHeight="1" thickBot="1" x14ac:dyDescent="0.3">
      <c r="B45" s="32"/>
      <c r="C45" s="33"/>
      <c r="D45" s="34"/>
      <c r="E45" s="105"/>
      <c r="F45" s="106"/>
      <c r="G45" s="47"/>
      <c r="H45" s="48"/>
      <c r="I45" s="49"/>
      <c r="J45" s="47"/>
      <c r="K45" s="48"/>
      <c r="L45" s="49"/>
      <c r="M45" s="47"/>
      <c r="N45" s="48"/>
      <c r="O45" s="49"/>
      <c r="P45" s="47"/>
      <c r="Q45" s="48"/>
      <c r="R45" s="49"/>
    </row>
    <row r="46" spans="1:18" ht="20.100000000000001" customHeight="1" x14ac:dyDescent="0.25">
      <c r="B46" s="32"/>
      <c r="C46" s="33"/>
      <c r="D46" s="34"/>
      <c r="E46" s="117" t="s">
        <v>4</v>
      </c>
      <c r="F46" s="118"/>
      <c r="G46" s="44" t="s">
        <v>43</v>
      </c>
      <c r="H46" s="45"/>
      <c r="I46" s="46"/>
      <c r="J46" s="44" t="s">
        <v>44</v>
      </c>
      <c r="K46" s="45"/>
      <c r="L46" s="46"/>
      <c r="M46" s="44" t="s">
        <v>45</v>
      </c>
      <c r="N46" s="45"/>
      <c r="O46" s="46"/>
      <c r="P46" s="44" t="s">
        <v>38</v>
      </c>
      <c r="Q46" s="45"/>
      <c r="R46" s="46"/>
    </row>
    <row r="47" spans="1:18" ht="20.100000000000001" customHeight="1" thickBot="1" x14ac:dyDescent="0.3">
      <c r="B47" s="32"/>
      <c r="C47" s="33"/>
      <c r="D47" s="34"/>
      <c r="E47" s="119"/>
      <c r="F47" s="120"/>
      <c r="G47" s="47"/>
      <c r="H47" s="48"/>
      <c r="I47" s="49"/>
      <c r="J47" s="47"/>
      <c r="K47" s="48"/>
      <c r="L47" s="49"/>
      <c r="M47" s="47"/>
      <c r="N47" s="48"/>
      <c r="O47" s="49"/>
      <c r="P47" s="47"/>
      <c r="Q47" s="48"/>
      <c r="R47" s="49"/>
    </row>
    <row r="48" spans="1:18" ht="20.100000000000001" customHeight="1" x14ac:dyDescent="0.25">
      <c r="B48" s="32"/>
      <c r="C48" s="33"/>
      <c r="D48" s="34"/>
      <c r="E48" s="117" t="s">
        <v>18</v>
      </c>
      <c r="F48" s="118"/>
      <c r="G48" s="50"/>
      <c r="H48" s="51"/>
      <c r="I48" s="54" t="s">
        <v>5</v>
      </c>
      <c r="J48" s="50"/>
      <c r="K48" s="51"/>
      <c r="L48" s="54" t="s">
        <v>5</v>
      </c>
      <c r="M48" s="50"/>
      <c r="N48" s="51"/>
      <c r="O48" s="54" t="s">
        <v>5</v>
      </c>
      <c r="P48" s="50">
        <f>194*110%</f>
        <v>213.4</v>
      </c>
      <c r="Q48" s="51"/>
      <c r="R48" s="54" t="s">
        <v>5</v>
      </c>
    </row>
    <row r="49" spans="2:18" ht="20.100000000000001" customHeight="1" thickBot="1" x14ac:dyDescent="0.3">
      <c r="B49" s="32"/>
      <c r="C49" s="33"/>
      <c r="D49" s="34"/>
      <c r="E49" s="119"/>
      <c r="F49" s="120"/>
      <c r="G49" s="52"/>
      <c r="H49" s="53"/>
      <c r="I49" s="55"/>
      <c r="J49" s="52"/>
      <c r="K49" s="53"/>
      <c r="L49" s="55"/>
      <c r="M49" s="52"/>
      <c r="N49" s="53"/>
      <c r="O49" s="55"/>
      <c r="P49" s="52"/>
      <c r="Q49" s="53"/>
      <c r="R49" s="55"/>
    </row>
    <row r="50" spans="2:18" ht="20.100000000000001" customHeight="1" x14ac:dyDescent="0.25">
      <c r="B50" s="32"/>
      <c r="C50" s="33"/>
      <c r="D50" s="34"/>
      <c r="E50" s="103" t="s">
        <v>6</v>
      </c>
      <c r="F50" s="104"/>
      <c r="G50" s="56"/>
      <c r="H50" s="57"/>
      <c r="I50" s="60" t="s">
        <v>7</v>
      </c>
      <c r="J50" s="56"/>
      <c r="K50" s="57"/>
      <c r="L50" s="60" t="s">
        <v>7</v>
      </c>
      <c r="M50" s="56"/>
      <c r="N50" s="57"/>
      <c r="O50" s="60" t="s">
        <v>7</v>
      </c>
      <c r="P50" s="56">
        <v>3.1944444444444446E-3</v>
      </c>
      <c r="Q50" s="57"/>
      <c r="R50" s="60" t="s">
        <v>7</v>
      </c>
    </row>
    <row r="51" spans="2:18" ht="20.100000000000001" customHeight="1" thickBot="1" x14ac:dyDescent="0.3">
      <c r="B51" s="35"/>
      <c r="C51" s="36"/>
      <c r="D51" s="37"/>
      <c r="E51" s="105"/>
      <c r="F51" s="106"/>
      <c r="G51" s="58"/>
      <c r="H51" s="59"/>
      <c r="I51" s="61"/>
      <c r="J51" s="58"/>
      <c r="K51" s="59"/>
      <c r="L51" s="61"/>
      <c r="M51" s="58"/>
      <c r="N51" s="59"/>
      <c r="O51" s="61"/>
      <c r="P51" s="58"/>
      <c r="Q51" s="59"/>
      <c r="R51" s="61"/>
    </row>
    <row r="52" spans="2:18" ht="21.95" customHeight="1" x14ac:dyDescent="0.25">
      <c r="B52" s="107" t="s">
        <v>11</v>
      </c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9"/>
    </row>
    <row r="53" spans="2:18" ht="21.95" customHeight="1" thickBot="1" x14ac:dyDescent="0.3">
      <c r="B53" s="110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2"/>
    </row>
    <row r="54" spans="2:18" ht="21.95" customHeight="1" x14ac:dyDescent="0.25">
      <c r="B54" s="84" t="s">
        <v>13</v>
      </c>
      <c r="C54" s="113"/>
      <c r="D54" s="113"/>
      <c r="E54" s="113"/>
      <c r="F54" s="114"/>
      <c r="G54" s="74" t="s">
        <v>19</v>
      </c>
      <c r="H54" s="75"/>
      <c r="I54" s="75"/>
      <c r="J54" s="74"/>
      <c r="K54" s="75"/>
      <c r="L54" s="75"/>
      <c r="M54" s="3"/>
      <c r="N54" s="4"/>
      <c r="O54" s="5"/>
      <c r="P54" s="3"/>
      <c r="Q54" s="4"/>
      <c r="R54" s="5"/>
    </row>
    <row r="55" spans="2:18" ht="21.95" customHeight="1" thickBot="1" x14ac:dyDescent="0.3">
      <c r="B55" s="86"/>
      <c r="C55" s="115"/>
      <c r="D55" s="115"/>
      <c r="E55" s="115"/>
      <c r="F55" s="116"/>
      <c r="G55" s="76"/>
      <c r="H55" s="77"/>
      <c r="I55" s="77"/>
      <c r="J55" s="76"/>
      <c r="K55" s="77"/>
      <c r="L55" s="77"/>
      <c r="M55" s="6"/>
      <c r="N55" s="7"/>
      <c r="O55" s="8"/>
      <c r="P55" s="6"/>
      <c r="Q55" s="7"/>
      <c r="R55" s="8"/>
    </row>
    <row r="56" spans="2:18" ht="21.95" customHeight="1" x14ac:dyDescent="0.25">
      <c r="B56" s="84" t="s">
        <v>10</v>
      </c>
      <c r="C56" s="85"/>
      <c r="D56" s="78" t="s">
        <v>8</v>
      </c>
      <c r="E56" s="79"/>
      <c r="F56" s="80"/>
      <c r="G56" s="121" t="s">
        <v>14</v>
      </c>
      <c r="H56" s="123" t="s">
        <v>12</v>
      </c>
      <c r="I56" s="124"/>
      <c r="J56" s="38"/>
      <c r="K56" s="40"/>
      <c r="L56" s="41"/>
      <c r="M56" s="38"/>
      <c r="N56" s="40"/>
      <c r="O56" s="41"/>
      <c r="P56" s="38"/>
      <c r="Q56" s="40"/>
      <c r="R56" s="41"/>
    </row>
    <row r="57" spans="2:18" ht="21.95" customHeight="1" thickBot="1" x14ac:dyDescent="0.3">
      <c r="B57" s="86"/>
      <c r="C57" s="87"/>
      <c r="D57" s="81"/>
      <c r="E57" s="82"/>
      <c r="F57" s="83"/>
      <c r="G57" s="122"/>
      <c r="H57" s="125"/>
      <c r="I57" s="126"/>
      <c r="J57" s="39"/>
      <c r="K57" s="42"/>
      <c r="L57" s="43"/>
      <c r="M57" s="39"/>
      <c r="N57" s="42"/>
      <c r="O57" s="43"/>
      <c r="P57" s="39"/>
      <c r="Q57" s="42"/>
      <c r="R57" s="43"/>
    </row>
    <row r="58" spans="2:18" ht="21.95" customHeight="1" x14ac:dyDescent="0.25">
      <c r="B58" s="19">
        <v>0.52</v>
      </c>
      <c r="C58" s="20"/>
      <c r="D58" s="88" t="s">
        <v>20</v>
      </c>
      <c r="E58" s="89"/>
      <c r="F58" s="90"/>
      <c r="G58" s="127" t="s">
        <v>16</v>
      </c>
      <c r="H58" s="129" t="s">
        <v>9</v>
      </c>
      <c r="I58" s="130"/>
      <c r="J58" s="23"/>
      <c r="K58" s="25"/>
      <c r="L58" s="26"/>
      <c r="M58" s="23"/>
      <c r="N58" s="25"/>
      <c r="O58" s="26"/>
      <c r="P58" s="23"/>
      <c r="Q58" s="25"/>
      <c r="R58" s="26"/>
    </row>
    <row r="59" spans="2:18" ht="21.95" customHeight="1" thickBot="1" x14ac:dyDescent="0.3">
      <c r="B59" s="21"/>
      <c r="C59" s="22"/>
      <c r="D59" s="133" t="s">
        <v>21</v>
      </c>
      <c r="E59" s="134"/>
      <c r="F59" s="135"/>
      <c r="G59" s="128"/>
      <c r="H59" s="131"/>
      <c r="I59" s="132"/>
      <c r="J59" s="24"/>
      <c r="K59" s="27"/>
      <c r="L59" s="28"/>
      <c r="M59" s="24"/>
      <c r="N59" s="27"/>
      <c r="O59" s="28"/>
      <c r="P59" s="24"/>
      <c r="Q59" s="27"/>
      <c r="R59" s="28"/>
    </row>
    <row r="60" spans="2:18" ht="21.95" customHeight="1" x14ac:dyDescent="0.25">
      <c r="B60" s="19">
        <v>0.24</v>
      </c>
      <c r="C60" s="20"/>
      <c r="D60" s="88" t="s">
        <v>23</v>
      </c>
      <c r="E60" s="89"/>
      <c r="F60" s="90"/>
      <c r="G60" s="127" t="s">
        <v>17</v>
      </c>
      <c r="H60" s="129" t="s">
        <v>25</v>
      </c>
      <c r="I60" s="130"/>
      <c r="J60" s="23"/>
      <c r="K60" s="25"/>
      <c r="L60" s="26"/>
      <c r="M60" s="23"/>
      <c r="N60" s="25"/>
      <c r="O60" s="26"/>
      <c r="P60" s="23"/>
      <c r="Q60" s="25"/>
      <c r="R60" s="26"/>
    </row>
    <row r="61" spans="2:18" ht="21.95" customHeight="1" thickBot="1" x14ac:dyDescent="0.3">
      <c r="B61" s="21"/>
      <c r="C61" s="22"/>
      <c r="D61" s="133" t="s">
        <v>24</v>
      </c>
      <c r="E61" s="134"/>
      <c r="F61" s="135"/>
      <c r="G61" s="128"/>
      <c r="H61" s="131"/>
      <c r="I61" s="132"/>
      <c r="J61" s="24"/>
      <c r="K61" s="27"/>
      <c r="L61" s="28"/>
      <c r="M61" s="24"/>
      <c r="N61" s="27"/>
      <c r="O61" s="28"/>
      <c r="P61" s="24"/>
      <c r="Q61" s="27"/>
      <c r="R61" s="28"/>
    </row>
    <row r="62" spans="2:18" ht="21.95" customHeight="1" x14ac:dyDescent="0.25">
      <c r="B62" s="19">
        <v>0.24</v>
      </c>
      <c r="C62" s="20"/>
      <c r="D62" s="88" t="s">
        <v>15</v>
      </c>
      <c r="E62" s="89"/>
      <c r="F62" s="90"/>
      <c r="G62" s="127" t="s">
        <v>17</v>
      </c>
      <c r="H62" s="129" t="s">
        <v>26</v>
      </c>
      <c r="I62" s="130"/>
      <c r="J62" s="23"/>
      <c r="K62" s="25"/>
      <c r="L62" s="26"/>
      <c r="M62" s="23"/>
      <c r="N62" s="25"/>
      <c r="O62" s="26"/>
      <c r="P62" s="23"/>
      <c r="Q62" s="25"/>
      <c r="R62" s="26"/>
    </row>
    <row r="63" spans="2:18" ht="21.95" customHeight="1" thickBot="1" x14ac:dyDescent="0.3">
      <c r="B63" s="21"/>
      <c r="C63" s="22"/>
      <c r="D63" s="133" t="s">
        <v>22</v>
      </c>
      <c r="E63" s="134"/>
      <c r="F63" s="135"/>
      <c r="G63" s="128"/>
      <c r="H63" s="131"/>
      <c r="I63" s="132"/>
      <c r="J63" s="24"/>
      <c r="K63" s="27"/>
      <c r="L63" s="28"/>
      <c r="M63" s="24"/>
      <c r="N63" s="27"/>
      <c r="O63" s="28"/>
      <c r="P63" s="24"/>
      <c r="Q63" s="27"/>
      <c r="R63" s="28"/>
    </row>
    <row r="64" spans="2:18" ht="21.95" customHeight="1" x14ac:dyDescent="0.25">
      <c r="B64" s="19"/>
      <c r="C64" s="20"/>
      <c r="D64" s="136"/>
      <c r="E64" s="137"/>
      <c r="F64" s="138"/>
      <c r="G64" s="23"/>
      <c r="H64" s="25"/>
      <c r="I64" s="26"/>
      <c r="J64" s="23"/>
      <c r="K64" s="25"/>
      <c r="L64" s="26"/>
      <c r="M64" s="23"/>
      <c r="N64" s="25"/>
      <c r="O64" s="26"/>
      <c r="P64" s="23"/>
      <c r="Q64" s="25"/>
      <c r="R64" s="26"/>
    </row>
    <row r="65" spans="1:18" ht="21.95" customHeight="1" thickBot="1" x14ac:dyDescent="0.3">
      <c r="B65" s="21"/>
      <c r="C65" s="22"/>
      <c r="D65" s="139"/>
      <c r="E65" s="140"/>
      <c r="F65" s="141"/>
      <c r="G65" s="24"/>
      <c r="H65" s="27"/>
      <c r="I65" s="28"/>
      <c r="J65" s="24"/>
      <c r="K65" s="27"/>
      <c r="L65" s="28"/>
      <c r="M65" s="24"/>
      <c r="N65" s="27"/>
      <c r="O65" s="28"/>
      <c r="P65" s="24"/>
      <c r="Q65" s="27"/>
      <c r="R65" s="28"/>
    </row>
    <row r="66" spans="1:18" ht="21.95" customHeight="1" x14ac:dyDescent="0.25">
      <c r="B66" s="19"/>
      <c r="C66" s="20"/>
      <c r="D66" s="136"/>
      <c r="E66" s="137"/>
      <c r="F66" s="138"/>
      <c r="G66" s="23"/>
      <c r="H66" s="25"/>
      <c r="I66" s="26"/>
      <c r="J66" s="23"/>
      <c r="K66" s="25"/>
      <c r="L66" s="26"/>
      <c r="M66" s="23"/>
      <c r="N66" s="25"/>
      <c r="O66" s="26"/>
      <c r="P66" s="23"/>
      <c r="Q66" s="25"/>
      <c r="R66" s="26"/>
    </row>
    <row r="67" spans="1:18" ht="21.95" customHeight="1" thickBot="1" x14ac:dyDescent="0.3">
      <c r="B67" s="21"/>
      <c r="C67" s="22"/>
      <c r="D67" s="139"/>
      <c r="E67" s="140"/>
      <c r="F67" s="141"/>
      <c r="G67" s="24"/>
      <c r="H67" s="27"/>
      <c r="I67" s="28"/>
      <c r="J67" s="24"/>
      <c r="K67" s="27"/>
      <c r="L67" s="28"/>
      <c r="M67" s="24"/>
      <c r="N67" s="27"/>
      <c r="O67" s="28"/>
      <c r="P67" s="24"/>
      <c r="Q67" s="27"/>
      <c r="R67" s="28"/>
    </row>
    <row r="68" spans="1:18" ht="9" customHeight="1" x14ac:dyDescent="0.25"/>
    <row r="69" spans="1:18" ht="5.25" customHeight="1" thickBot="1" x14ac:dyDescent="0.3">
      <c r="A69" s="1" t="s">
        <v>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21.95" customHeight="1" x14ac:dyDescent="0.25">
      <c r="B70" s="91" t="s">
        <v>1</v>
      </c>
      <c r="C70" s="92"/>
      <c r="D70" s="93"/>
      <c r="E70" s="97" t="s">
        <v>2</v>
      </c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9"/>
    </row>
    <row r="71" spans="1:18" ht="21.95" customHeight="1" thickBot="1" x14ac:dyDescent="0.3">
      <c r="B71" s="94"/>
      <c r="C71" s="95"/>
      <c r="D71" s="96"/>
      <c r="E71" s="100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2"/>
    </row>
    <row r="72" spans="1:18" ht="12.95" customHeight="1" x14ac:dyDescent="0.25">
      <c r="B72" s="29"/>
      <c r="C72" s="30"/>
      <c r="D72" s="31"/>
      <c r="E72" s="62" t="s">
        <v>27</v>
      </c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4"/>
    </row>
    <row r="73" spans="1:18" ht="12.95" customHeight="1" x14ac:dyDescent="0.25">
      <c r="B73" s="32"/>
      <c r="C73" s="33"/>
      <c r="D73" s="34"/>
      <c r="E73" s="65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7"/>
    </row>
    <row r="74" spans="1:18" ht="20.25" customHeight="1" x14ac:dyDescent="0.25">
      <c r="B74" s="32"/>
      <c r="C74" s="33"/>
      <c r="D74" s="34"/>
      <c r="E74" s="68" t="s">
        <v>28</v>
      </c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70"/>
    </row>
    <row r="75" spans="1:18" ht="4.5" customHeight="1" thickBot="1" x14ac:dyDescent="0.3">
      <c r="B75" s="32"/>
      <c r="C75" s="33"/>
      <c r="D75" s="34"/>
      <c r="E75" s="71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3"/>
    </row>
    <row r="76" spans="1:18" ht="20.100000000000001" customHeight="1" x14ac:dyDescent="0.25">
      <c r="B76" s="32"/>
      <c r="C76" s="33"/>
      <c r="D76" s="34"/>
      <c r="E76" s="103" t="s">
        <v>29</v>
      </c>
      <c r="F76" s="104"/>
      <c r="G76" s="142" t="s">
        <v>39</v>
      </c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4"/>
    </row>
    <row r="77" spans="1:18" ht="20.100000000000001" customHeight="1" thickBot="1" x14ac:dyDescent="0.3">
      <c r="B77" s="32"/>
      <c r="C77" s="33"/>
      <c r="D77" s="34"/>
      <c r="E77" s="105"/>
      <c r="F77" s="106"/>
      <c r="G77" s="145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7"/>
    </row>
    <row r="78" spans="1:18" ht="20.100000000000001" customHeight="1" x14ac:dyDescent="0.25">
      <c r="B78" s="32"/>
      <c r="C78" s="33"/>
      <c r="D78" s="34"/>
      <c r="E78" s="103" t="s">
        <v>3</v>
      </c>
      <c r="F78" s="104"/>
      <c r="G78" s="44" t="s">
        <v>31</v>
      </c>
      <c r="H78" s="45"/>
      <c r="I78" s="46"/>
      <c r="J78" s="44" t="s">
        <v>32</v>
      </c>
      <c r="K78" s="45"/>
      <c r="L78" s="46"/>
      <c r="M78" s="44" t="s">
        <v>33</v>
      </c>
      <c r="N78" s="45"/>
      <c r="O78" s="46"/>
      <c r="P78" s="44" t="s">
        <v>34</v>
      </c>
      <c r="Q78" s="45"/>
      <c r="R78" s="46"/>
    </row>
    <row r="79" spans="1:18" ht="20.100000000000001" customHeight="1" thickBot="1" x14ac:dyDescent="0.3">
      <c r="B79" s="32"/>
      <c r="C79" s="33"/>
      <c r="D79" s="34"/>
      <c r="E79" s="105"/>
      <c r="F79" s="106"/>
      <c r="G79" s="47"/>
      <c r="H79" s="48"/>
      <c r="I79" s="49"/>
      <c r="J79" s="47"/>
      <c r="K79" s="48"/>
      <c r="L79" s="49"/>
      <c r="M79" s="47"/>
      <c r="N79" s="48"/>
      <c r="O79" s="49"/>
      <c r="P79" s="47"/>
      <c r="Q79" s="48"/>
      <c r="R79" s="49"/>
    </row>
    <row r="80" spans="1:18" ht="20.100000000000001" customHeight="1" x14ac:dyDescent="0.25">
      <c r="B80" s="32"/>
      <c r="C80" s="33"/>
      <c r="D80" s="34"/>
      <c r="E80" s="117" t="s">
        <v>4</v>
      </c>
      <c r="F80" s="118"/>
      <c r="G80" s="44" t="s">
        <v>40</v>
      </c>
      <c r="H80" s="45"/>
      <c r="I80" s="46"/>
      <c r="J80" s="44" t="s">
        <v>41</v>
      </c>
      <c r="K80" s="45"/>
      <c r="L80" s="46"/>
      <c r="M80" s="44" t="s">
        <v>42</v>
      </c>
      <c r="N80" s="45"/>
      <c r="O80" s="46"/>
      <c r="P80" s="44" t="s">
        <v>38</v>
      </c>
      <c r="Q80" s="45"/>
      <c r="R80" s="46"/>
    </row>
    <row r="81" spans="2:18" ht="20.100000000000001" customHeight="1" thickBot="1" x14ac:dyDescent="0.3">
      <c r="B81" s="32"/>
      <c r="C81" s="33"/>
      <c r="D81" s="34"/>
      <c r="E81" s="119"/>
      <c r="F81" s="120"/>
      <c r="G81" s="47"/>
      <c r="H81" s="48"/>
      <c r="I81" s="49"/>
      <c r="J81" s="47"/>
      <c r="K81" s="48"/>
      <c r="L81" s="49"/>
      <c r="M81" s="47"/>
      <c r="N81" s="48"/>
      <c r="O81" s="49"/>
      <c r="P81" s="47"/>
      <c r="Q81" s="48"/>
      <c r="R81" s="49"/>
    </row>
    <row r="82" spans="2:18" ht="20.100000000000001" customHeight="1" x14ac:dyDescent="0.25">
      <c r="B82" s="32"/>
      <c r="C82" s="33"/>
      <c r="D82" s="34"/>
      <c r="E82" s="117" t="s">
        <v>18</v>
      </c>
      <c r="F82" s="118"/>
      <c r="G82" s="50"/>
      <c r="H82" s="51"/>
      <c r="I82" s="54" t="s">
        <v>5</v>
      </c>
      <c r="J82" s="50"/>
      <c r="K82" s="51"/>
      <c r="L82" s="54" t="s">
        <v>5</v>
      </c>
      <c r="M82" s="50"/>
      <c r="N82" s="51"/>
      <c r="O82" s="54" t="s">
        <v>5</v>
      </c>
      <c r="P82" s="50">
        <f>194*110%</f>
        <v>213.4</v>
      </c>
      <c r="Q82" s="51"/>
      <c r="R82" s="54" t="s">
        <v>5</v>
      </c>
    </row>
    <row r="83" spans="2:18" ht="20.100000000000001" customHeight="1" thickBot="1" x14ac:dyDescent="0.3">
      <c r="B83" s="32"/>
      <c r="C83" s="33"/>
      <c r="D83" s="34"/>
      <c r="E83" s="119"/>
      <c r="F83" s="120"/>
      <c r="G83" s="52"/>
      <c r="H83" s="53"/>
      <c r="I83" s="55"/>
      <c r="J83" s="52"/>
      <c r="K83" s="53"/>
      <c r="L83" s="55"/>
      <c r="M83" s="52"/>
      <c r="N83" s="53"/>
      <c r="O83" s="55"/>
      <c r="P83" s="52"/>
      <c r="Q83" s="53"/>
      <c r="R83" s="55"/>
    </row>
    <row r="84" spans="2:18" ht="20.100000000000001" customHeight="1" x14ac:dyDescent="0.25">
      <c r="B84" s="32"/>
      <c r="C84" s="33"/>
      <c r="D84" s="34"/>
      <c r="E84" s="103" t="s">
        <v>6</v>
      </c>
      <c r="F84" s="104"/>
      <c r="G84" s="56"/>
      <c r="H84" s="57"/>
      <c r="I84" s="60" t="s">
        <v>7</v>
      </c>
      <c r="J84" s="56"/>
      <c r="K84" s="57"/>
      <c r="L84" s="60" t="s">
        <v>7</v>
      </c>
      <c r="M84" s="56"/>
      <c r="N84" s="57"/>
      <c r="O84" s="60" t="s">
        <v>7</v>
      </c>
      <c r="P84" s="56">
        <v>3.1944444444444446E-3</v>
      </c>
      <c r="Q84" s="57"/>
      <c r="R84" s="60" t="s">
        <v>7</v>
      </c>
    </row>
    <row r="85" spans="2:18" ht="20.100000000000001" customHeight="1" thickBot="1" x14ac:dyDescent="0.3">
      <c r="B85" s="35"/>
      <c r="C85" s="36"/>
      <c r="D85" s="37"/>
      <c r="E85" s="105"/>
      <c r="F85" s="106"/>
      <c r="G85" s="58"/>
      <c r="H85" s="59"/>
      <c r="I85" s="61"/>
      <c r="J85" s="58"/>
      <c r="K85" s="59"/>
      <c r="L85" s="61"/>
      <c r="M85" s="58"/>
      <c r="N85" s="59"/>
      <c r="O85" s="61"/>
      <c r="P85" s="58"/>
      <c r="Q85" s="59"/>
      <c r="R85" s="61"/>
    </row>
    <row r="86" spans="2:18" ht="21.95" customHeight="1" x14ac:dyDescent="0.25">
      <c r="B86" s="107" t="s">
        <v>11</v>
      </c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9"/>
    </row>
    <row r="87" spans="2:18" ht="21.95" customHeight="1" thickBot="1" x14ac:dyDescent="0.3">
      <c r="B87" s="110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2"/>
    </row>
    <row r="88" spans="2:18" ht="21.95" customHeight="1" x14ac:dyDescent="0.25">
      <c r="B88" s="84" t="s">
        <v>13</v>
      </c>
      <c r="C88" s="113"/>
      <c r="D88" s="113"/>
      <c r="E88" s="113"/>
      <c r="F88" s="114"/>
      <c r="G88" s="74" t="s">
        <v>19</v>
      </c>
      <c r="H88" s="75"/>
      <c r="I88" s="75"/>
      <c r="J88" s="74"/>
      <c r="K88" s="75"/>
      <c r="L88" s="75"/>
      <c r="M88" s="3"/>
      <c r="N88" s="4"/>
      <c r="O88" s="5"/>
      <c r="P88" s="3"/>
      <c r="Q88" s="4"/>
      <c r="R88" s="5"/>
    </row>
    <row r="89" spans="2:18" ht="21.95" customHeight="1" thickBot="1" x14ac:dyDescent="0.3">
      <c r="B89" s="86"/>
      <c r="C89" s="115"/>
      <c r="D89" s="115"/>
      <c r="E89" s="115"/>
      <c r="F89" s="116"/>
      <c r="G89" s="76"/>
      <c r="H89" s="77"/>
      <c r="I89" s="77"/>
      <c r="J89" s="76"/>
      <c r="K89" s="77"/>
      <c r="L89" s="77"/>
      <c r="M89" s="6"/>
      <c r="N89" s="7"/>
      <c r="O89" s="8"/>
      <c r="P89" s="6"/>
      <c r="Q89" s="7"/>
      <c r="R89" s="8"/>
    </row>
    <row r="90" spans="2:18" ht="21.95" customHeight="1" x14ac:dyDescent="0.25">
      <c r="B90" s="84" t="s">
        <v>10</v>
      </c>
      <c r="C90" s="85"/>
      <c r="D90" s="78" t="s">
        <v>8</v>
      </c>
      <c r="E90" s="79"/>
      <c r="F90" s="80"/>
      <c r="G90" s="121" t="s">
        <v>14</v>
      </c>
      <c r="H90" s="123" t="s">
        <v>12</v>
      </c>
      <c r="I90" s="124"/>
      <c r="J90" s="38"/>
      <c r="K90" s="40"/>
      <c r="L90" s="41"/>
      <c r="M90" s="38"/>
      <c r="N90" s="40"/>
      <c r="O90" s="41"/>
      <c r="P90" s="38"/>
      <c r="Q90" s="40"/>
      <c r="R90" s="41"/>
    </row>
    <row r="91" spans="2:18" ht="21.95" customHeight="1" thickBot="1" x14ac:dyDescent="0.3">
      <c r="B91" s="86"/>
      <c r="C91" s="87"/>
      <c r="D91" s="81"/>
      <c r="E91" s="82"/>
      <c r="F91" s="83"/>
      <c r="G91" s="122"/>
      <c r="H91" s="125"/>
      <c r="I91" s="126"/>
      <c r="J91" s="39"/>
      <c r="K91" s="42"/>
      <c r="L91" s="43"/>
      <c r="M91" s="39"/>
      <c r="N91" s="42"/>
      <c r="O91" s="43"/>
      <c r="P91" s="39"/>
      <c r="Q91" s="42"/>
      <c r="R91" s="43"/>
    </row>
    <row r="92" spans="2:18" ht="21.95" customHeight="1" x14ac:dyDescent="0.25">
      <c r="B92" s="19">
        <v>0.52</v>
      </c>
      <c r="C92" s="20"/>
      <c r="D92" s="88" t="s">
        <v>20</v>
      </c>
      <c r="E92" s="89"/>
      <c r="F92" s="90"/>
      <c r="G92" s="127" t="s">
        <v>16</v>
      </c>
      <c r="H92" s="129" t="s">
        <v>9</v>
      </c>
      <c r="I92" s="130"/>
      <c r="J92" s="23"/>
      <c r="K92" s="25"/>
      <c r="L92" s="26"/>
      <c r="M92" s="23"/>
      <c r="N92" s="25"/>
      <c r="O92" s="26"/>
      <c r="P92" s="23"/>
      <c r="Q92" s="25"/>
      <c r="R92" s="26"/>
    </row>
    <row r="93" spans="2:18" ht="21.95" customHeight="1" thickBot="1" x14ac:dyDescent="0.3">
      <c r="B93" s="21"/>
      <c r="C93" s="22"/>
      <c r="D93" s="133" t="s">
        <v>21</v>
      </c>
      <c r="E93" s="134"/>
      <c r="F93" s="135"/>
      <c r="G93" s="128"/>
      <c r="H93" s="131"/>
      <c r="I93" s="132"/>
      <c r="J93" s="24"/>
      <c r="K93" s="27"/>
      <c r="L93" s="28"/>
      <c r="M93" s="24"/>
      <c r="N93" s="27"/>
      <c r="O93" s="28"/>
      <c r="P93" s="24"/>
      <c r="Q93" s="27"/>
      <c r="R93" s="28"/>
    </row>
    <row r="94" spans="2:18" ht="21.95" customHeight="1" x14ac:dyDescent="0.25">
      <c r="B94" s="19">
        <v>0.24</v>
      </c>
      <c r="C94" s="20"/>
      <c r="D94" s="88" t="s">
        <v>23</v>
      </c>
      <c r="E94" s="89"/>
      <c r="F94" s="90"/>
      <c r="G94" s="127" t="s">
        <v>17</v>
      </c>
      <c r="H94" s="129" t="s">
        <v>25</v>
      </c>
      <c r="I94" s="130"/>
      <c r="J94" s="23"/>
      <c r="K94" s="25"/>
      <c r="L94" s="26"/>
      <c r="M94" s="23"/>
      <c r="N94" s="25"/>
      <c r="O94" s="26"/>
      <c r="P94" s="23"/>
      <c r="Q94" s="25"/>
      <c r="R94" s="26"/>
    </row>
    <row r="95" spans="2:18" ht="21.95" customHeight="1" thickBot="1" x14ac:dyDescent="0.3">
      <c r="B95" s="21"/>
      <c r="C95" s="22"/>
      <c r="D95" s="133" t="s">
        <v>24</v>
      </c>
      <c r="E95" s="134"/>
      <c r="F95" s="135"/>
      <c r="G95" s="128"/>
      <c r="H95" s="131"/>
      <c r="I95" s="132"/>
      <c r="J95" s="24"/>
      <c r="K95" s="27"/>
      <c r="L95" s="28"/>
      <c r="M95" s="24"/>
      <c r="N95" s="27"/>
      <c r="O95" s="28"/>
      <c r="P95" s="24"/>
      <c r="Q95" s="27"/>
      <c r="R95" s="28"/>
    </row>
    <row r="96" spans="2:18" ht="21.95" customHeight="1" x14ac:dyDescent="0.25">
      <c r="B96" s="19">
        <v>0.24</v>
      </c>
      <c r="C96" s="20"/>
      <c r="D96" s="88" t="s">
        <v>15</v>
      </c>
      <c r="E96" s="89"/>
      <c r="F96" s="90"/>
      <c r="G96" s="127" t="s">
        <v>17</v>
      </c>
      <c r="H96" s="129" t="s">
        <v>26</v>
      </c>
      <c r="I96" s="130"/>
      <c r="J96" s="23"/>
      <c r="K96" s="25"/>
      <c r="L96" s="26"/>
      <c r="M96" s="23"/>
      <c r="N96" s="25"/>
      <c r="O96" s="26"/>
      <c r="P96" s="23"/>
      <c r="Q96" s="25"/>
      <c r="R96" s="26"/>
    </row>
    <row r="97" spans="1:18" ht="21.95" customHeight="1" thickBot="1" x14ac:dyDescent="0.3">
      <c r="B97" s="21"/>
      <c r="C97" s="22"/>
      <c r="D97" s="133" t="s">
        <v>22</v>
      </c>
      <c r="E97" s="134"/>
      <c r="F97" s="135"/>
      <c r="G97" s="128"/>
      <c r="H97" s="131"/>
      <c r="I97" s="132"/>
      <c r="J97" s="24"/>
      <c r="K97" s="27"/>
      <c r="L97" s="28"/>
      <c r="M97" s="24"/>
      <c r="N97" s="27"/>
      <c r="O97" s="28"/>
      <c r="P97" s="24"/>
      <c r="Q97" s="27"/>
      <c r="R97" s="28"/>
    </row>
    <row r="98" spans="1:18" ht="21.95" customHeight="1" x14ac:dyDescent="0.25">
      <c r="B98" s="19"/>
      <c r="C98" s="20"/>
      <c r="D98" s="136"/>
      <c r="E98" s="137"/>
      <c r="F98" s="138"/>
      <c r="G98" s="23"/>
      <c r="H98" s="25"/>
      <c r="I98" s="26"/>
      <c r="J98" s="23"/>
      <c r="K98" s="25"/>
      <c r="L98" s="26"/>
      <c r="M98" s="23"/>
      <c r="N98" s="25"/>
      <c r="O98" s="26"/>
      <c r="P98" s="23"/>
      <c r="Q98" s="25"/>
      <c r="R98" s="26"/>
    </row>
    <row r="99" spans="1:18" ht="21.95" customHeight="1" thickBot="1" x14ac:dyDescent="0.3">
      <c r="B99" s="21"/>
      <c r="C99" s="22"/>
      <c r="D99" s="139"/>
      <c r="E99" s="140"/>
      <c r="F99" s="141"/>
      <c r="G99" s="24"/>
      <c r="H99" s="27"/>
      <c r="I99" s="28"/>
      <c r="J99" s="24"/>
      <c r="K99" s="27"/>
      <c r="L99" s="28"/>
      <c r="M99" s="24"/>
      <c r="N99" s="27"/>
      <c r="O99" s="28"/>
      <c r="P99" s="24"/>
      <c r="Q99" s="27"/>
      <c r="R99" s="28"/>
    </row>
    <row r="100" spans="1:18" ht="21.95" customHeight="1" x14ac:dyDescent="0.25">
      <c r="B100" s="19"/>
      <c r="C100" s="20"/>
      <c r="D100" s="136"/>
      <c r="E100" s="137"/>
      <c r="F100" s="138"/>
      <c r="G100" s="23"/>
      <c r="H100" s="25"/>
      <c r="I100" s="26"/>
      <c r="J100" s="23"/>
      <c r="K100" s="25"/>
      <c r="L100" s="26"/>
      <c r="M100" s="23"/>
      <c r="N100" s="25"/>
      <c r="O100" s="26"/>
      <c r="P100" s="23"/>
      <c r="Q100" s="25"/>
      <c r="R100" s="26"/>
    </row>
    <row r="101" spans="1:18" ht="21.95" customHeight="1" thickBot="1" x14ac:dyDescent="0.3">
      <c r="B101" s="21"/>
      <c r="C101" s="22"/>
      <c r="D101" s="139"/>
      <c r="E101" s="140"/>
      <c r="F101" s="141"/>
      <c r="G101" s="24"/>
      <c r="H101" s="27"/>
      <c r="I101" s="28"/>
      <c r="J101" s="24"/>
      <c r="K101" s="27"/>
      <c r="L101" s="28"/>
      <c r="M101" s="24"/>
      <c r="N101" s="27"/>
      <c r="O101" s="28"/>
      <c r="P101" s="24"/>
      <c r="Q101" s="27"/>
      <c r="R101" s="28"/>
    </row>
    <row r="102" spans="1:18" ht="9" customHeight="1" x14ac:dyDescent="0.25"/>
    <row r="103" spans="1:18" ht="5.25" customHeight="1" thickBot="1" x14ac:dyDescent="0.3">
      <c r="A103" s="1" t="s">
        <v>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21.95" customHeight="1" x14ac:dyDescent="0.25">
      <c r="B104" s="91" t="s">
        <v>1</v>
      </c>
      <c r="C104" s="92"/>
      <c r="D104" s="93"/>
      <c r="E104" s="97" t="s">
        <v>2</v>
      </c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9"/>
    </row>
    <row r="105" spans="1:18" ht="21.95" customHeight="1" thickBot="1" x14ac:dyDescent="0.3">
      <c r="B105" s="94"/>
      <c r="C105" s="95"/>
      <c r="D105" s="96"/>
      <c r="E105" s="100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2"/>
    </row>
    <row r="106" spans="1:18" ht="12.95" customHeight="1" x14ac:dyDescent="0.25">
      <c r="B106" s="29"/>
      <c r="C106" s="30"/>
      <c r="D106" s="31"/>
      <c r="E106" s="62" t="s">
        <v>27</v>
      </c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4"/>
    </row>
    <row r="107" spans="1:18" ht="12.95" customHeight="1" x14ac:dyDescent="0.25">
      <c r="B107" s="32"/>
      <c r="C107" s="33"/>
      <c r="D107" s="34"/>
      <c r="E107" s="65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7"/>
    </row>
    <row r="108" spans="1:18" ht="20.25" customHeight="1" x14ac:dyDescent="0.25">
      <c r="B108" s="32"/>
      <c r="C108" s="33"/>
      <c r="D108" s="34"/>
      <c r="E108" s="68" t="s">
        <v>28</v>
      </c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70"/>
    </row>
    <row r="109" spans="1:18" ht="4.5" customHeight="1" thickBot="1" x14ac:dyDescent="0.3">
      <c r="B109" s="32"/>
      <c r="C109" s="33"/>
      <c r="D109" s="34"/>
      <c r="E109" s="71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3"/>
    </row>
    <row r="110" spans="1:18" ht="20.100000000000001" customHeight="1" x14ac:dyDescent="0.25">
      <c r="B110" s="32"/>
      <c r="C110" s="33"/>
      <c r="D110" s="34"/>
      <c r="E110" s="103" t="s">
        <v>29</v>
      </c>
      <c r="F110" s="104"/>
      <c r="G110" s="142" t="s">
        <v>30</v>
      </c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4"/>
    </row>
    <row r="111" spans="1:18" ht="20.100000000000001" customHeight="1" thickBot="1" x14ac:dyDescent="0.3">
      <c r="B111" s="32"/>
      <c r="C111" s="33"/>
      <c r="D111" s="34"/>
      <c r="E111" s="105"/>
      <c r="F111" s="106"/>
      <c r="G111" s="145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7"/>
    </row>
    <row r="112" spans="1:18" ht="20.100000000000001" customHeight="1" x14ac:dyDescent="0.25">
      <c r="B112" s="32"/>
      <c r="C112" s="33"/>
      <c r="D112" s="34"/>
      <c r="E112" s="103" t="s">
        <v>3</v>
      </c>
      <c r="F112" s="104"/>
      <c r="G112" s="44" t="s">
        <v>31</v>
      </c>
      <c r="H112" s="45"/>
      <c r="I112" s="46"/>
      <c r="J112" s="44" t="s">
        <v>32</v>
      </c>
      <c r="K112" s="45"/>
      <c r="L112" s="46"/>
      <c r="M112" s="44" t="s">
        <v>33</v>
      </c>
      <c r="N112" s="45"/>
      <c r="O112" s="46"/>
      <c r="P112" s="44" t="s">
        <v>34</v>
      </c>
      <c r="Q112" s="45"/>
      <c r="R112" s="46"/>
    </row>
    <row r="113" spans="2:18" ht="20.100000000000001" customHeight="1" thickBot="1" x14ac:dyDescent="0.3">
      <c r="B113" s="32"/>
      <c r="C113" s="33"/>
      <c r="D113" s="34"/>
      <c r="E113" s="105"/>
      <c r="F113" s="106"/>
      <c r="G113" s="47"/>
      <c r="H113" s="48"/>
      <c r="I113" s="49"/>
      <c r="J113" s="47"/>
      <c r="K113" s="48"/>
      <c r="L113" s="49"/>
      <c r="M113" s="47"/>
      <c r="N113" s="48"/>
      <c r="O113" s="49"/>
      <c r="P113" s="47"/>
      <c r="Q113" s="48"/>
      <c r="R113" s="49"/>
    </row>
    <row r="114" spans="2:18" ht="20.100000000000001" customHeight="1" x14ac:dyDescent="0.25">
      <c r="B114" s="32"/>
      <c r="C114" s="33"/>
      <c r="D114" s="34"/>
      <c r="E114" s="117" t="s">
        <v>4</v>
      </c>
      <c r="F114" s="118"/>
      <c r="G114" s="44" t="s">
        <v>35</v>
      </c>
      <c r="H114" s="45"/>
      <c r="I114" s="46"/>
      <c r="J114" s="44" t="s">
        <v>36</v>
      </c>
      <c r="K114" s="45"/>
      <c r="L114" s="46"/>
      <c r="M114" s="44" t="s">
        <v>37</v>
      </c>
      <c r="N114" s="45"/>
      <c r="O114" s="46"/>
      <c r="P114" s="44" t="s">
        <v>38</v>
      </c>
      <c r="Q114" s="45"/>
      <c r="R114" s="46"/>
    </row>
    <row r="115" spans="2:18" ht="20.100000000000001" customHeight="1" thickBot="1" x14ac:dyDescent="0.3">
      <c r="B115" s="32"/>
      <c r="C115" s="33"/>
      <c r="D115" s="34"/>
      <c r="E115" s="119"/>
      <c r="F115" s="120"/>
      <c r="G115" s="47"/>
      <c r="H115" s="48"/>
      <c r="I115" s="49"/>
      <c r="J115" s="47"/>
      <c r="K115" s="48"/>
      <c r="L115" s="49"/>
      <c r="M115" s="47"/>
      <c r="N115" s="48"/>
      <c r="O115" s="49"/>
      <c r="P115" s="47"/>
      <c r="Q115" s="48"/>
      <c r="R115" s="49"/>
    </row>
    <row r="116" spans="2:18" ht="20.100000000000001" customHeight="1" x14ac:dyDescent="0.25">
      <c r="B116" s="32"/>
      <c r="C116" s="33"/>
      <c r="D116" s="34"/>
      <c r="E116" s="117" t="s">
        <v>18</v>
      </c>
      <c r="F116" s="118"/>
      <c r="G116" s="50">
        <f>117*110%</f>
        <v>128.70000000000002</v>
      </c>
      <c r="H116" s="51"/>
      <c r="I116" s="54" t="s">
        <v>5</v>
      </c>
      <c r="J116" s="50">
        <f>33*110%</f>
        <v>36.300000000000004</v>
      </c>
      <c r="K116" s="51"/>
      <c r="L116" s="54" t="s">
        <v>5</v>
      </c>
      <c r="M116" s="50">
        <f>83*110%</f>
        <v>91.300000000000011</v>
      </c>
      <c r="N116" s="51"/>
      <c r="O116" s="54" t="s">
        <v>5</v>
      </c>
      <c r="P116" s="50">
        <f>194*110%</f>
        <v>213.4</v>
      </c>
      <c r="Q116" s="51"/>
      <c r="R116" s="54" t="s">
        <v>5</v>
      </c>
    </row>
    <row r="117" spans="2:18" ht="20.100000000000001" customHeight="1" thickBot="1" x14ac:dyDescent="0.3">
      <c r="B117" s="32"/>
      <c r="C117" s="33"/>
      <c r="D117" s="34"/>
      <c r="E117" s="119"/>
      <c r="F117" s="120"/>
      <c r="G117" s="52"/>
      <c r="H117" s="53"/>
      <c r="I117" s="55"/>
      <c r="J117" s="52"/>
      <c r="K117" s="53"/>
      <c r="L117" s="55"/>
      <c r="M117" s="52"/>
      <c r="N117" s="53"/>
      <c r="O117" s="55"/>
      <c r="P117" s="52"/>
      <c r="Q117" s="53"/>
      <c r="R117" s="55"/>
    </row>
    <row r="118" spans="2:18" ht="20.100000000000001" customHeight="1" x14ac:dyDescent="0.25">
      <c r="B118" s="32"/>
      <c r="C118" s="33"/>
      <c r="D118" s="34"/>
      <c r="E118" s="103" t="s">
        <v>6</v>
      </c>
      <c r="F118" s="104"/>
      <c r="G118" s="56">
        <v>2.1643518518518518E-3</v>
      </c>
      <c r="H118" s="57"/>
      <c r="I118" s="60" t="s">
        <v>7</v>
      </c>
      <c r="J118" s="56">
        <v>1.0416666666666667E-3</v>
      </c>
      <c r="K118" s="57"/>
      <c r="L118" s="60" t="s">
        <v>7</v>
      </c>
      <c r="M118" s="56">
        <v>1.712962962962963E-3</v>
      </c>
      <c r="N118" s="57"/>
      <c r="O118" s="60" t="s">
        <v>7</v>
      </c>
      <c r="P118" s="56">
        <v>3.1944444444444446E-3</v>
      </c>
      <c r="Q118" s="57"/>
      <c r="R118" s="60" t="s">
        <v>7</v>
      </c>
    </row>
    <row r="119" spans="2:18" ht="20.100000000000001" customHeight="1" thickBot="1" x14ac:dyDescent="0.3">
      <c r="B119" s="35"/>
      <c r="C119" s="36"/>
      <c r="D119" s="37"/>
      <c r="E119" s="105"/>
      <c r="F119" s="106"/>
      <c r="G119" s="58"/>
      <c r="H119" s="59"/>
      <c r="I119" s="61"/>
      <c r="J119" s="58"/>
      <c r="K119" s="59"/>
      <c r="L119" s="61"/>
      <c r="M119" s="58"/>
      <c r="N119" s="59"/>
      <c r="O119" s="61"/>
      <c r="P119" s="58"/>
      <c r="Q119" s="59"/>
      <c r="R119" s="61"/>
    </row>
    <row r="120" spans="2:18" ht="21.95" customHeight="1" x14ac:dyDescent="0.25">
      <c r="B120" s="107" t="s">
        <v>11</v>
      </c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9"/>
    </row>
    <row r="121" spans="2:18" ht="21.95" customHeight="1" thickBot="1" x14ac:dyDescent="0.3">
      <c r="B121" s="110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2"/>
    </row>
    <row r="122" spans="2:18" ht="21.95" customHeight="1" x14ac:dyDescent="0.25">
      <c r="B122" s="84" t="s">
        <v>13</v>
      </c>
      <c r="C122" s="113"/>
      <c r="D122" s="113"/>
      <c r="E122" s="113"/>
      <c r="F122" s="114"/>
      <c r="G122" s="74" t="s">
        <v>19</v>
      </c>
      <c r="H122" s="75"/>
      <c r="I122" s="75"/>
      <c r="J122" s="74"/>
      <c r="K122" s="75"/>
      <c r="L122" s="75"/>
      <c r="M122" s="3"/>
      <c r="N122" s="4"/>
      <c r="O122" s="5"/>
      <c r="P122" s="3"/>
      <c r="Q122" s="4"/>
      <c r="R122" s="5"/>
    </row>
    <row r="123" spans="2:18" ht="21.95" customHeight="1" thickBot="1" x14ac:dyDescent="0.3">
      <c r="B123" s="86"/>
      <c r="C123" s="115"/>
      <c r="D123" s="115"/>
      <c r="E123" s="115"/>
      <c r="F123" s="116"/>
      <c r="G123" s="76"/>
      <c r="H123" s="77"/>
      <c r="I123" s="77"/>
      <c r="J123" s="76"/>
      <c r="K123" s="77"/>
      <c r="L123" s="77"/>
      <c r="M123" s="6"/>
      <c r="N123" s="7"/>
      <c r="O123" s="8"/>
      <c r="P123" s="6"/>
      <c r="Q123" s="7"/>
      <c r="R123" s="8"/>
    </row>
    <row r="124" spans="2:18" ht="21.95" customHeight="1" x14ac:dyDescent="0.25">
      <c r="B124" s="84" t="s">
        <v>10</v>
      </c>
      <c r="C124" s="85"/>
      <c r="D124" s="78" t="s">
        <v>8</v>
      </c>
      <c r="E124" s="79"/>
      <c r="F124" s="80"/>
      <c r="G124" s="121" t="s">
        <v>14</v>
      </c>
      <c r="H124" s="123" t="s">
        <v>12</v>
      </c>
      <c r="I124" s="124"/>
      <c r="J124" s="38"/>
      <c r="K124" s="40"/>
      <c r="L124" s="41"/>
      <c r="M124" s="38"/>
      <c r="N124" s="40"/>
      <c r="O124" s="41"/>
      <c r="P124" s="38"/>
      <c r="Q124" s="40"/>
      <c r="R124" s="41"/>
    </row>
    <row r="125" spans="2:18" ht="21.95" customHeight="1" thickBot="1" x14ac:dyDescent="0.3">
      <c r="B125" s="86"/>
      <c r="C125" s="87"/>
      <c r="D125" s="81"/>
      <c r="E125" s="82"/>
      <c r="F125" s="83"/>
      <c r="G125" s="122"/>
      <c r="H125" s="125"/>
      <c r="I125" s="126"/>
      <c r="J125" s="39"/>
      <c r="K125" s="42"/>
      <c r="L125" s="43"/>
      <c r="M125" s="39"/>
      <c r="N125" s="42"/>
      <c r="O125" s="43"/>
      <c r="P125" s="39"/>
      <c r="Q125" s="42"/>
      <c r="R125" s="43"/>
    </row>
    <row r="126" spans="2:18" ht="21.95" customHeight="1" x14ac:dyDescent="0.25">
      <c r="B126" s="19">
        <v>0.52</v>
      </c>
      <c r="C126" s="20"/>
      <c r="D126" s="88" t="s">
        <v>20</v>
      </c>
      <c r="E126" s="89"/>
      <c r="F126" s="90"/>
      <c r="G126" s="127" t="s">
        <v>16</v>
      </c>
      <c r="H126" s="129" t="s">
        <v>9</v>
      </c>
      <c r="I126" s="130"/>
      <c r="J126" s="23"/>
      <c r="K126" s="25"/>
      <c r="L126" s="26"/>
      <c r="M126" s="23"/>
      <c r="N126" s="25"/>
      <c r="O126" s="26"/>
      <c r="P126" s="23"/>
      <c r="Q126" s="25"/>
      <c r="R126" s="26"/>
    </row>
    <row r="127" spans="2:18" ht="21.95" customHeight="1" thickBot="1" x14ac:dyDescent="0.3">
      <c r="B127" s="21"/>
      <c r="C127" s="22"/>
      <c r="D127" s="133" t="s">
        <v>21</v>
      </c>
      <c r="E127" s="134"/>
      <c r="F127" s="135"/>
      <c r="G127" s="128"/>
      <c r="H127" s="131"/>
      <c r="I127" s="132"/>
      <c r="J127" s="24"/>
      <c r="K127" s="27"/>
      <c r="L127" s="28"/>
      <c r="M127" s="24"/>
      <c r="N127" s="27"/>
      <c r="O127" s="28"/>
      <c r="P127" s="24"/>
      <c r="Q127" s="27"/>
      <c r="R127" s="28"/>
    </row>
    <row r="128" spans="2:18" ht="21.95" customHeight="1" x14ac:dyDescent="0.25">
      <c r="B128" s="19">
        <v>0.24</v>
      </c>
      <c r="C128" s="20"/>
      <c r="D128" s="88" t="s">
        <v>23</v>
      </c>
      <c r="E128" s="89"/>
      <c r="F128" s="90"/>
      <c r="G128" s="127" t="s">
        <v>17</v>
      </c>
      <c r="H128" s="129" t="s">
        <v>25</v>
      </c>
      <c r="I128" s="130"/>
      <c r="J128" s="23"/>
      <c r="K128" s="25"/>
      <c r="L128" s="26"/>
      <c r="M128" s="23"/>
      <c r="N128" s="25"/>
      <c r="O128" s="26"/>
      <c r="P128" s="23"/>
      <c r="Q128" s="25"/>
      <c r="R128" s="26"/>
    </row>
    <row r="129" spans="2:18" ht="21.95" customHeight="1" thickBot="1" x14ac:dyDescent="0.3">
      <c r="B129" s="21"/>
      <c r="C129" s="22"/>
      <c r="D129" s="133" t="s">
        <v>24</v>
      </c>
      <c r="E129" s="134"/>
      <c r="F129" s="135"/>
      <c r="G129" s="128"/>
      <c r="H129" s="131"/>
      <c r="I129" s="132"/>
      <c r="J129" s="24"/>
      <c r="K129" s="27"/>
      <c r="L129" s="28"/>
      <c r="M129" s="24"/>
      <c r="N129" s="27"/>
      <c r="O129" s="28"/>
      <c r="P129" s="24"/>
      <c r="Q129" s="27"/>
      <c r="R129" s="28"/>
    </row>
    <row r="130" spans="2:18" ht="21.95" customHeight="1" x14ac:dyDescent="0.25">
      <c r="B130" s="19">
        <v>0.24</v>
      </c>
      <c r="C130" s="20"/>
      <c r="D130" s="88" t="s">
        <v>15</v>
      </c>
      <c r="E130" s="89"/>
      <c r="F130" s="90"/>
      <c r="G130" s="127" t="s">
        <v>17</v>
      </c>
      <c r="H130" s="129" t="s">
        <v>26</v>
      </c>
      <c r="I130" s="130"/>
      <c r="J130" s="23"/>
      <c r="K130" s="25"/>
      <c r="L130" s="26"/>
      <c r="M130" s="23"/>
      <c r="N130" s="25"/>
      <c r="O130" s="26"/>
      <c r="P130" s="23"/>
      <c r="Q130" s="25"/>
      <c r="R130" s="26"/>
    </row>
    <row r="131" spans="2:18" ht="21.95" customHeight="1" thickBot="1" x14ac:dyDescent="0.3">
      <c r="B131" s="21"/>
      <c r="C131" s="22"/>
      <c r="D131" s="133" t="s">
        <v>22</v>
      </c>
      <c r="E131" s="134"/>
      <c r="F131" s="135"/>
      <c r="G131" s="128"/>
      <c r="H131" s="131"/>
      <c r="I131" s="132"/>
      <c r="J131" s="24"/>
      <c r="K131" s="27"/>
      <c r="L131" s="28"/>
      <c r="M131" s="24"/>
      <c r="N131" s="27"/>
      <c r="O131" s="28"/>
      <c r="P131" s="24"/>
      <c r="Q131" s="27"/>
      <c r="R131" s="28"/>
    </row>
    <row r="132" spans="2:18" ht="21.95" customHeight="1" x14ac:dyDescent="0.25">
      <c r="B132" s="19"/>
      <c r="C132" s="20"/>
      <c r="D132" s="136"/>
      <c r="E132" s="137"/>
      <c r="F132" s="138"/>
      <c r="G132" s="23"/>
      <c r="H132" s="25"/>
      <c r="I132" s="26"/>
      <c r="J132" s="23"/>
      <c r="K132" s="25"/>
      <c r="L132" s="26"/>
      <c r="M132" s="23"/>
      <c r="N132" s="25"/>
      <c r="O132" s="26"/>
      <c r="P132" s="23"/>
      <c r="Q132" s="25"/>
      <c r="R132" s="26"/>
    </row>
    <row r="133" spans="2:18" ht="21.95" customHeight="1" thickBot="1" x14ac:dyDescent="0.3">
      <c r="B133" s="21"/>
      <c r="C133" s="22"/>
      <c r="D133" s="139"/>
      <c r="E133" s="140"/>
      <c r="F133" s="141"/>
      <c r="G133" s="24"/>
      <c r="H133" s="27"/>
      <c r="I133" s="28"/>
      <c r="J133" s="24"/>
      <c r="K133" s="27"/>
      <c r="L133" s="28"/>
      <c r="M133" s="24"/>
      <c r="N133" s="27"/>
      <c r="O133" s="28"/>
      <c r="P133" s="24"/>
      <c r="Q133" s="27"/>
      <c r="R133" s="28"/>
    </row>
    <row r="134" spans="2:18" ht="21.95" customHeight="1" x14ac:dyDescent="0.25">
      <c r="B134" s="19"/>
      <c r="C134" s="20"/>
      <c r="D134" s="136"/>
      <c r="E134" s="137"/>
      <c r="F134" s="138"/>
      <c r="G134" s="23"/>
      <c r="H134" s="25"/>
      <c r="I134" s="26"/>
      <c r="J134" s="23"/>
      <c r="K134" s="25"/>
      <c r="L134" s="26"/>
      <c r="M134" s="23"/>
      <c r="N134" s="25"/>
      <c r="O134" s="26"/>
      <c r="P134" s="23"/>
      <c r="Q134" s="25"/>
      <c r="R134" s="26"/>
    </row>
    <row r="135" spans="2:18" ht="21.95" customHeight="1" thickBot="1" x14ac:dyDescent="0.3">
      <c r="B135" s="21"/>
      <c r="C135" s="22"/>
      <c r="D135" s="139"/>
      <c r="E135" s="140"/>
      <c r="F135" s="141"/>
      <c r="G135" s="24"/>
      <c r="H135" s="27"/>
      <c r="I135" s="28"/>
      <c r="J135" s="24"/>
      <c r="K135" s="27"/>
      <c r="L135" s="28"/>
      <c r="M135" s="24"/>
      <c r="N135" s="27"/>
      <c r="O135" s="28"/>
      <c r="P135" s="24"/>
      <c r="Q135" s="27"/>
      <c r="R135" s="28"/>
    </row>
    <row r="136" spans="2:18" ht="9" customHeight="1" x14ac:dyDescent="0.25"/>
    <row r="137" spans="2:18" ht="15.75" customHeight="1" x14ac:dyDescent="0.25"/>
    <row r="138" spans="2:18" ht="15.75" customHeight="1" x14ac:dyDescent="0.25"/>
    <row r="139" spans="2:18" ht="15.75" customHeight="1" x14ac:dyDescent="0.25"/>
    <row r="140" spans="2:18" ht="15.75" customHeight="1" x14ac:dyDescent="0.25"/>
    <row r="141" spans="2:18" ht="15.75" customHeight="1" x14ac:dyDescent="0.25"/>
    <row r="142" spans="2:18" ht="15.75" customHeight="1" x14ac:dyDescent="0.25"/>
    <row r="143" spans="2:18" ht="15.75" customHeight="1" x14ac:dyDescent="0.25"/>
    <row r="144" spans="2:18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418">
    <mergeCell ref="Q134:R135"/>
    <mergeCell ref="D135:F135"/>
    <mergeCell ref="J8:O9"/>
    <mergeCell ref="G8:I9"/>
    <mergeCell ref="P8:R9"/>
    <mergeCell ref="B134:C135"/>
    <mergeCell ref="D134:F134"/>
    <mergeCell ref="G134:G135"/>
    <mergeCell ref="H134:I135"/>
    <mergeCell ref="J134:J135"/>
    <mergeCell ref="K134:L135"/>
    <mergeCell ref="M134:M135"/>
    <mergeCell ref="N134:O135"/>
    <mergeCell ref="P134:P135"/>
    <mergeCell ref="Q130:R131"/>
    <mergeCell ref="D131:F131"/>
    <mergeCell ref="B132:C133"/>
    <mergeCell ref="D132:F132"/>
    <mergeCell ref="G132:G133"/>
    <mergeCell ref="H132:I133"/>
    <mergeCell ref="J132:J133"/>
    <mergeCell ref="K132:L133"/>
    <mergeCell ref="M132:M133"/>
    <mergeCell ref="N132:O133"/>
    <mergeCell ref="P132:P133"/>
    <mergeCell ref="Q132:R133"/>
    <mergeCell ref="D133:F133"/>
    <mergeCell ref="B130:C131"/>
    <mergeCell ref="D130:F130"/>
    <mergeCell ref="G130:G131"/>
    <mergeCell ref="H130:I131"/>
    <mergeCell ref="J130:J131"/>
    <mergeCell ref="K130:L131"/>
    <mergeCell ref="M130:M131"/>
    <mergeCell ref="N130:O131"/>
    <mergeCell ref="P130:P131"/>
    <mergeCell ref="Q126:R127"/>
    <mergeCell ref="D127:F127"/>
    <mergeCell ref="B128:C129"/>
    <mergeCell ref="D128:F128"/>
    <mergeCell ref="G128:G129"/>
    <mergeCell ref="H128:I129"/>
    <mergeCell ref="J128:J129"/>
    <mergeCell ref="K128:L129"/>
    <mergeCell ref="M128:M129"/>
    <mergeCell ref="N128:O129"/>
    <mergeCell ref="P128:P129"/>
    <mergeCell ref="Q128:R129"/>
    <mergeCell ref="D129:F129"/>
    <mergeCell ref="B126:C127"/>
    <mergeCell ref="D126:F126"/>
    <mergeCell ref="G126:G127"/>
    <mergeCell ref="H126:I127"/>
    <mergeCell ref="J126:J127"/>
    <mergeCell ref="K126:L127"/>
    <mergeCell ref="M126:M127"/>
    <mergeCell ref="N126:O127"/>
    <mergeCell ref="P126:P127"/>
    <mergeCell ref="B120:R121"/>
    <mergeCell ref="B122:F123"/>
    <mergeCell ref="G122:I123"/>
    <mergeCell ref="J122:L123"/>
    <mergeCell ref="B124:C125"/>
    <mergeCell ref="D124:F125"/>
    <mergeCell ref="G124:G125"/>
    <mergeCell ref="H124:I125"/>
    <mergeCell ref="J124:J125"/>
    <mergeCell ref="K124:L125"/>
    <mergeCell ref="M124:M125"/>
    <mergeCell ref="N124:O125"/>
    <mergeCell ref="P124:P125"/>
    <mergeCell ref="Q124:R125"/>
    <mergeCell ref="M116:N117"/>
    <mergeCell ref="O116:O117"/>
    <mergeCell ref="P116:Q117"/>
    <mergeCell ref="R116:R117"/>
    <mergeCell ref="E118:F119"/>
    <mergeCell ref="G118:H119"/>
    <mergeCell ref="I118:I119"/>
    <mergeCell ref="J118:K119"/>
    <mergeCell ref="L118:L119"/>
    <mergeCell ref="M118:N119"/>
    <mergeCell ref="O118:O119"/>
    <mergeCell ref="P118:Q119"/>
    <mergeCell ref="R118:R119"/>
    <mergeCell ref="Q100:R101"/>
    <mergeCell ref="D101:F101"/>
    <mergeCell ref="B104:D105"/>
    <mergeCell ref="E104:R105"/>
    <mergeCell ref="B106:D119"/>
    <mergeCell ref="E106:R107"/>
    <mergeCell ref="E108:R109"/>
    <mergeCell ref="E110:F111"/>
    <mergeCell ref="G110:R111"/>
    <mergeCell ref="E112:F113"/>
    <mergeCell ref="G112:I113"/>
    <mergeCell ref="J112:L113"/>
    <mergeCell ref="M112:O113"/>
    <mergeCell ref="P112:R113"/>
    <mergeCell ref="E114:F115"/>
    <mergeCell ref="G114:I115"/>
    <mergeCell ref="J114:L115"/>
    <mergeCell ref="M114:O115"/>
    <mergeCell ref="P114:R115"/>
    <mergeCell ref="E116:F117"/>
    <mergeCell ref="G116:H117"/>
    <mergeCell ref="I116:I117"/>
    <mergeCell ref="J116:K117"/>
    <mergeCell ref="L116:L117"/>
    <mergeCell ref="B100:C101"/>
    <mergeCell ref="D100:F100"/>
    <mergeCell ref="G100:G101"/>
    <mergeCell ref="H100:I101"/>
    <mergeCell ref="J100:J101"/>
    <mergeCell ref="K100:L101"/>
    <mergeCell ref="M100:M101"/>
    <mergeCell ref="N100:O101"/>
    <mergeCell ref="P100:P101"/>
    <mergeCell ref="Q96:R97"/>
    <mergeCell ref="D97:F97"/>
    <mergeCell ref="B98:C99"/>
    <mergeCell ref="D98:F98"/>
    <mergeCell ref="G98:G99"/>
    <mergeCell ref="H98:I99"/>
    <mergeCell ref="J98:J99"/>
    <mergeCell ref="K98:L99"/>
    <mergeCell ref="M98:M99"/>
    <mergeCell ref="N98:O99"/>
    <mergeCell ref="P98:P99"/>
    <mergeCell ref="Q98:R99"/>
    <mergeCell ref="D99:F99"/>
    <mergeCell ref="B96:C97"/>
    <mergeCell ref="D96:F96"/>
    <mergeCell ref="G96:G97"/>
    <mergeCell ref="H96:I97"/>
    <mergeCell ref="J96:J97"/>
    <mergeCell ref="K96:L97"/>
    <mergeCell ref="M96:M97"/>
    <mergeCell ref="N96:O97"/>
    <mergeCell ref="P96:P97"/>
    <mergeCell ref="Q92:R93"/>
    <mergeCell ref="D93:F93"/>
    <mergeCell ref="B94:C95"/>
    <mergeCell ref="D94:F94"/>
    <mergeCell ref="G94:G95"/>
    <mergeCell ref="H94:I95"/>
    <mergeCell ref="J94:J95"/>
    <mergeCell ref="K94:L95"/>
    <mergeCell ref="M94:M95"/>
    <mergeCell ref="N94:O95"/>
    <mergeCell ref="P94:P95"/>
    <mergeCell ref="Q94:R95"/>
    <mergeCell ref="D95:F95"/>
    <mergeCell ref="B92:C93"/>
    <mergeCell ref="D92:F92"/>
    <mergeCell ref="G92:G93"/>
    <mergeCell ref="H92:I93"/>
    <mergeCell ref="J92:J93"/>
    <mergeCell ref="K92:L93"/>
    <mergeCell ref="M92:M93"/>
    <mergeCell ref="N92:O93"/>
    <mergeCell ref="P92:P93"/>
    <mergeCell ref="B86:R87"/>
    <mergeCell ref="B88:F89"/>
    <mergeCell ref="G88:I89"/>
    <mergeCell ref="J88:L89"/>
    <mergeCell ref="B90:C91"/>
    <mergeCell ref="D90:F91"/>
    <mergeCell ref="G90:G91"/>
    <mergeCell ref="H90:I91"/>
    <mergeCell ref="J90:J91"/>
    <mergeCell ref="K90:L91"/>
    <mergeCell ref="M90:M91"/>
    <mergeCell ref="N90:O91"/>
    <mergeCell ref="P90:P91"/>
    <mergeCell ref="Q90:R91"/>
    <mergeCell ref="M82:N83"/>
    <mergeCell ref="O82:O83"/>
    <mergeCell ref="P82:Q83"/>
    <mergeCell ref="R82:R83"/>
    <mergeCell ref="E84:F85"/>
    <mergeCell ref="G84:H85"/>
    <mergeCell ref="I84:I85"/>
    <mergeCell ref="J84:K85"/>
    <mergeCell ref="L84:L85"/>
    <mergeCell ref="M84:N85"/>
    <mergeCell ref="O84:O85"/>
    <mergeCell ref="P84:Q85"/>
    <mergeCell ref="R84:R85"/>
    <mergeCell ref="Q66:R67"/>
    <mergeCell ref="D67:F67"/>
    <mergeCell ref="B70:D71"/>
    <mergeCell ref="E70:R71"/>
    <mergeCell ref="B72:D85"/>
    <mergeCell ref="E72:R73"/>
    <mergeCell ref="E74:R75"/>
    <mergeCell ref="E76:F77"/>
    <mergeCell ref="G76:R77"/>
    <mergeCell ref="E78:F79"/>
    <mergeCell ref="G78:I79"/>
    <mergeCell ref="J78:L79"/>
    <mergeCell ref="M78:O79"/>
    <mergeCell ref="P78:R79"/>
    <mergeCell ref="E80:F81"/>
    <mergeCell ref="G80:I81"/>
    <mergeCell ref="J80:L81"/>
    <mergeCell ref="M80:O81"/>
    <mergeCell ref="P80:R81"/>
    <mergeCell ref="E82:F83"/>
    <mergeCell ref="G82:H83"/>
    <mergeCell ref="I82:I83"/>
    <mergeCell ref="J82:K83"/>
    <mergeCell ref="L82:L83"/>
    <mergeCell ref="B66:C67"/>
    <mergeCell ref="D66:F66"/>
    <mergeCell ref="G66:G67"/>
    <mergeCell ref="H66:I67"/>
    <mergeCell ref="J66:J67"/>
    <mergeCell ref="K66:L67"/>
    <mergeCell ref="M66:M67"/>
    <mergeCell ref="N66:O67"/>
    <mergeCell ref="P66:P67"/>
    <mergeCell ref="Q62:R63"/>
    <mergeCell ref="D63:F63"/>
    <mergeCell ref="B64:C65"/>
    <mergeCell ref="D64:F64"/>
    <mergeCell ref="G64:G65"/>
    <mergeCell ref="H64:I65"/>
    <mergeCell ref="J64:J65"/>
    <mergeCell ref="K64:L65"/>
    <mergeCell ref="M64:M65"/>
    <mergeCell ref="N64:O65"/>
    <mergeCell ref="P64:P65"/>
    <mergeCell ref="Q64:R65"/>
    <mergeCell ref="D65:F65"/>
    <mergeCell ref="B62:C63"/>
    <mergeCell ref="D62:F62"/>
    <mergeCell ref="G62:G63"/>
    <mergeCell ref="H62:I63"/>
    <mergeCell ref="J62:J63"/>
    <mergeCell ref="K62:L63"/>
    <mergeCell ref="M62:M63"/>
    <mergeCell ref="N62:O63"/>
    <mergeCell ref="P62:P63"/>
    <mergeCell ref="Q58:R59"/>
    <mergeCell ref="D59:F59"/>
    <mergeCell ref="B60:C61"/>
    <mergeCell ref="D60:F60"/>
    <mergeCell ref="G60:G61"/>
    <mergeCell ref="H60:I61"/>
    <mergeCell ref="J60:J61"/>
    <mergeCell ref="K60:L61"/>
    <mergeCell ref="M60:M61"/>
    <mergeCell ref="N60:O61"/>
    <mergeCell ref="P60:P61"/>
    <mergeCell ref="Q60:R61"/>
    <mergeCell ref="D61:F61"/>
    <mergeCell ref="B58:C59"/>
    <mergeCell ref="D58:F58"/>
    <mergeCell ref="G58:G59"/>
    <mergeCell ref="H58:I59"/>
    <mergeCell ref="J58:J59"/>
    <mergeCell ref="K58:L59"/>
    <mergeCell ref="M58:M59"/>
    <mergeCell ref="N58:O59"/>
    <mergeCell ref="P58:P59"/>
    <mergeCell ref="B52:R53"/>
    <mergeCell ref="B54:F55"/>
    <mergeCell ref="G54:I55"/>
    <mergeCell ref="J54:L55"/>
    <mergeCell ref="B56:C57"/>
    <mergeCell ref="D56:F57"/>
    <mergeCell ref="G56:G57"/>
    <mergeCell ref="H56:I57"/>
    <mergeCell ref="J56:J57"/>
    <mergeCell ref="K56:L57"/>
    <mergeCell ref="M56:M57"/>
    <mergeCell ref="N56:O57"/>
    <mergeCell ref="P56:P57"/>
    <mergeCell ref="Q56:R57"/>
    <mergeCell ref="P48:Q49"/>
    <mergeCell ref="R48:R49"/>
    <mergeCell ref="E50:F51"/>
    <mergeCell ref="G50:H51"/>
    <mergeCell ref="I50:I51"/>
    <mergeCell ref="J50:K51"/>
    <mergeCell ref="L50:L51"/>
    <mergeCell ref="M50:N51"/>
    <mergeCell ref="O50:O51"/>
    <mergeCell ref="P50:Q51"/>
    <mergeCell ref="R50:R51"/>
    <mergeCell ref="B36:D37"/>
    <mergeCell ref="E36:R37"/>
    <mergeCell ref="B38:D51"/>
    <mergeCell ref="E38:R39"/>
    <mergeCell ref="E40:R41"/>
    <mergeCell ref="E42:F43"/>
    <mergeCell ref="G42:R43"/>
    <mergeCell ref="E44:F45"/>
    <mergeCell ref="G44:I45"/>
    <mergeCell ref="J44:L45"/>
    <mergeCell ref="M44:O45"/>
    <mergeCell ref="P44:R45"/>
    <mergeCell ref="E46:F47"/>
    <mergeCell ref="G46:I47"/>
    <mergeCell ref="J46:L47"/>
    <mergeCell ref="M46:O47"/>
    <mergeCell ref="P46:R47"/>
    <mergeCell ref="E48:F49"/>
    <mergeCell ref="G48:H49"/>
    <mergeCell ref="I48:I49"/>
    <mergeCell ref="J48:K49"/>
    <mergeCell ref="L48:L49"/>
    <mergeCell ref="M48:N49"/>
    <mergeCell ref="O48:O49"/>
    <mergeCell ref="K26:L27"/>
    <mergeCell ref="J28:J29"/>
    <mergeCell ref="K28:L29"/>
    <mergeCell ref="H26:I27"/>
    <mergeCell ref="D27:F27"/>
    <mergeCell ref="D26:F26"/>
    <mergeCell ref="G26:G27"/>
    <mergeCell ref="J32:J33"/>
    <mergeCell ref="K32:L33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M32:M33"/>
    <mergeCell ref="N32:O33"/>
    <mergeCell ref="G32:G33"/>
    <mergeCell ref="H32:I33"/>
    <mergeCell ref="B32:C33"/>
    <mergeCell ref="M28:M29"/>
    <mergeCell ref="G24:G25"/>
    <mergeCell ref="H24:I25"/>
    <mergeCell ref="D25:F25"/>
    <mergeCell ref="M24:M25"/>
    <mergeCell ref="N24:O25"/>
    <mergeCell ref="M30:M31"/>
    <mergeCell ref="J30:J31"/>
    <mergeCell ref="K30:L31"/>
    <mergeCell ref="D30:F30"/>
    <mergeCell ref="D31:F31"/>
    <mergeCell ref="D32:F32"/>
    <mergeCell ref="D33:F33"/>
    <mergeCell ref="M26:M27"/>
    <mergeCell ref="D28:F28"/>
    <mergeCell ref="G28:G29"/>
    <mergeCell ref="H28:I29"/>
    <mergeCell ref="D29:F29"/>
    <mergeCell ref="J26:J27"/>
    <mergeCell ref="P24:P25"/>
    <mergeCell ref="Q24:R25"/>
    <mergeCell ref="P12:R13"/>
    <mergeCell ref="B18:R19"/>
    <mergeCell ref="G16:H17"/>
    <mergeCell ref="M16:N17"/>
    <mergeCell ref="E16:F17"/>
    <mergeCell ref="B20:F21"/>
    <mergeCell ref="I16:I17"/>
    <mergeCell ref="M14:N15"/>
    <mergeCell ref="E12:F13"/>
    <mergeCell ref="E14:F15"/>
    <mergeCell ref="O14:O15"/>
    <mergeCell ref="I14:I15"/>
    <mergeCell ref="R14:R15"/>
    <mergeCell ref="M22:M23"/>
    <mergeCell ref="N22:O23"/>
    <mergeCell ref="P22:P23"/>
    <mergeCell ref="G22:G23"/>
    <mergeCell ref="H22:I23"/>
    <mergeCell ref="B2:D3"/>
    <mergeCell ref="O16:O17"/>
    <mergeCell ref="R16:R17"/>
    <mergeCell ref="P16:Q17"/>
    <mergeCell ref="Q22:R23"/>
    <mergeCell ref="G12:I13"/>
    <mergeCell ref="M12:O13"/>
    <mergeCell ref="G14:H15"/>
    <mergeCell ref="P14:Q15"/>
    <mergeCell ref="E2:R3"/>
    <mergeCell ref="E8:F9"/>
    <mergeCell ref="E10:F11"/>
    <mergeCell ref="G10:I11"/>
    <mergeCell ref="M10:O11"/>
    <mergeCell ref="P10:R11"/>
    <mergeCell ref="B28:C29"/>
    <mergeCell ref="B26:C27"/>
    <mergeCell ref="B30:C31"/>
    <mergeCell ref="G30:G31"/>
    <mergeCell ref="H30:I31"/>
    <mergeCell ref="B4:D17"/>
    <mergeCell ref="J22:J23"/>
    <mergeCell ref="K22:L23"/>
    <mergeCell ref="J24:J25"/>
    <mergeCell ref="K24:L25"/>
    <mergeCell ref="J10:L11"/>
    <mergeCell ref="J12:L13"/>
    <mergeCell ref="J14:K15"/>
    <mergeCell ref="L14:L15"/>
    <mergeCell ref="J16:K17"/>
    <mergeCell ref="L16:L17"/>
    <mergeCell ref="E4:R5"/>
    <mergeCell ref="E6:R7"/>
    <mergeCell ref="G20:I21"/>
    <mergeCell ref="J20:L21"/>
    <mergeCell ref="D22:F23"/>
    <mergeCell ref="B22:C23"/>
    <mergeCell ref="B24:C25"/>
    <mergeCell ref="D24:F24"/>
  </mergeCells>
  <phoneticPr fontId="6" type="noConversion"/>
  <printOptions horizontalCentered="1" verticalCentered="1"/>
  <pageMargins left="0" right="0" top="0" bottom="0" header="0" footer="0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3"/>
  <sheetViews>
    <sheetView tabSelected="1" topLeftCell="A9" workbookViewId="0">
      <selection activeCell="I26" sqref="I26"/>
    </sheetView>
  </sheetViews>
  <sheetFormatPr baseColWidth="10" defaultRowHeight="15" x14ac:dyDescent="0.25"/>
  <cols>
    <col min="1" max="1" width="16.140625" customWidth="1"/>
    <col min="8" max="8" width="12.28515625" customWidth="1"/>
    <col min="9" max="9" width="15.7109375" customWidth="1"/>
    <col min="10" max="10" width="16.140625" customWidth="1"/>
    <col min="11" max="11" width="13" customWidth="1"/>
    <col min="12" max="12" width="12.85546875" customWidth="1"/>
    <col min="13" max="13" width="13.140625" customWidth="1"/>
    <col min="14" max="14" width="13" customWidth="1"/>
    <col min="15" max="15" width="12.85546875" customWidth="1"/>
    <col min="16" max="16" width="14" customWidth="1"/>
  </cols>
  <sheetData>
    <row r="2" spans="1:19" ht="22.5" x14ac:dyDescent="0.45">
      <c r="B2" s="10" t="s">
        <v>55</v>
      </c>
      <c r="C2" s="10"/>
    </row>
    <row r="3" spans="1:19" ht="22.5" x14ac:dyDescent="0.45">
      <c r="H3" s="18" t="s">
        <v>72</v>
      </c>
      <c r="I3" s="18" t="s">
        <v>73</v>
      </c>
      <c r="J3" s="18"/>
      <c r="K3" s="11"/>
      <c r="L3" s="11"/>
      <c r="M3" s="11"/>
      <c r="N3" s="11"/>
      <c r="O3" s="11"/>
      <c r="P3" s="11"/>
      <c r="Q3" s="11"/>
      <c r="R3" s="11"/>
      <c r="S3" s="11"/>
    </row>
    <row r="4" spans="1:19" ht="19.5" customHeight="1" x14ac:dyDescent="0.45">
      <c r="A4" s="149" t="s">
        <v>56</v>
      </c>
      <c r="B4" s="149"/>
      <c r="C4" s="9" t="s">
        <v>57</v>
      </c>
      <c r="H4" s="18" t="s">
        <v>74</v>
      </c>
      <c r="I4" s="18" t="s">
        <v>22</v>
      </c>
      <c r="J4" s="18"/>
      <c r="K4" s="11"/>
      <c r="L4" s="11"/>
      <c r="M4" s="11"/>
      <c r="N4" s="11"/>
      <c r="O4" s="11"/>
      <c r="P4" s="11"/>
      <c r="Q4" s="11"/>
      <c r="R4" s="11"/>
      <c r="S4" s="11"/>
    </row>
    <row r="5" spans="1:19" ht="18.75" customHeight="1" x14ac:dyDescent="0.4">
      <c r="A5" s="9" t="s">
        <v>58</v>
      </c>
      <c r="B5" s="9" t="s">
        <v>59</v>
      </c>
      <c r="C5" s="9" t="s">
        <v>60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ht="37.5" x14ac:dyDescent="0.4">
      <c r="H6" s="11"/>
      <c r="I6" s="11" t="s">
        <v>75</v>
      </c>
      <c r="J6" s="11" t="s">
        <v>76</v>
      </c>
      <c r="K6" s="15" t="s">
        <v>78</v>
      </c>
      <c r="L6" s="15" t="s">
        <v>79</v>
      </c>
      <c r="M6" s="15" t="s">
        <v>80</v>
      </c>
      <c r="N6" s="15" t="s">
        <v>81</v>
      </c>
      <c r="O6" s="15" t="s">
        <v>82</v>
      </c>
      <c r="P6" s="15" t="s">
        <v>83</v>
      </c>
      <c r="Q6" s="11"/>
      <c r="R6" s="11"/>
      <c r="S6" s="11"/>
    </row>
    <row r="7" spans="1:19" ht="18.75" x14ac:dyDescent="0.4">
      <c r="H7" s="17" t="s">
        <v>77</v>
      </c>
      <c r="I7" s="17" t="s">
        <v>84</v>
      </c>
      <c r="J7" s="17">
        <v>14</v>
      </c>
      <c r="K7" s="17">
        <v>105.6</v>
      </c>
      <c r="L7" s="17">
        <v>4.03</v>
      </c>
      <c r="M7" s="17">
        <v>77</v>
      </c>
      <c r="N7" s="17">
        <v>3.22</v>
      </c>
      <c r="O7" s="17">
        <v>29.7</v>
      </c>
      <c r="P7" s="17">
        <v>2.0499999999999998</v>
      </c>
      <c r="Q7" s="11"/>
      <c r="R7" s="11"/>
      <c r="S7" s="11"/>
    </row>
    <row r="8" spans="1:19" ht="19.5" customHeight="1" x14ac:dyDescent="0.4">
      <c r="A8" s="11" t="s">
        <v>61</v>
      </c>
      <c r="B8" s="11"/>
      <c r="C8" s="11"/>
      <c r="D8" s="11"/>
      <c r="E8" s="11"/>
      <c r="H8" s="16" t="s">
        <v>85</v>
      </c>
      <c r="I8" s="16"/>
      <c r="J8" s="16"/>
      <c r="K8" s="16"/>
      <c r="L8" s="16"/>
      <c r="M8" s="16"/>
      <c r="N8" s="16"/>
      <c r="O8" s="16"/>
      <c r="P8" s="16"/>
      <c r="Q8" s="11"/>
      <c r="R8" s="11"/>
      <c r="S8" s="11"/>
    </row>
    <row r="9" spans="1:19" ht="15.75" customHeight="1" thickBot="1" x14ac:dyDescent="0.45">
      <c r="H9" s="16" t="s">
        <v>86</v>
      </c>
      <c r="I9" s="16"/>
      <c r="J9" s="16"/>
      <c r="K9" s="16"/>
      <c r="L9" s="16"/>
      <c r="M9" s="16"/>
      <c r="N9" s="16"/>
      <c r="O9" s="16"/>
      <c r="P9" s="16"/>
      <c r="Q9" s="11"/>
      <c r="R9" s="11"/>
      <c r="S9" s="11"/>
    </row>
    <row r="10" spans="1:19" ht="19.5" customHeight="1" thickBot="1" x14ac:dyDescent="0.45">
      <c r="A10" s="11" t="s">
        <v>62</v>
      </c>
      <c r="B10" s="11" t="s">
        <v>63</v>
      </c>
      <c r="C10" s="11"/>
      <c r="D10" s="11"/>
      <c r="E10" s="11"/>
      <c r="F10" s="150">
        <v>1.2</v>
      </c>
      <c r="H10" s="17" t="s">
        <v>87</v>
      </c>
      <c r="I10" s="17" t="s">
        <v>88</v>
      </c>
      <c r="J10" s="17">
        <v>16</v>
      </c>
      <c r="K10" s="17">
        <v>128.69999999999999</v>
      </c>
      <c r="L10" s="17">
        <v>3.07</v>
      </c>
      <c r="M10" s="17">
        <v>91.3</v>
      </c>
      <c r="N10" s="17">
        <v>2.2799999999999998</v>
      </c>
      <c r="O10" s="17">
        <v>36.299999999999997</v>
      </c>
      <c r="P10" s="17">
        <v>1.3</v>
      </c>
      <c r="Q10" s="11"/>
      <c r="R10" s="11"/>
      <c r="S10" s="11"/>
    </row>
    <row r="11" spans="1:19" ht="19.5" customHeight="1" thickBot="1" x14ac:dyDescent="0.45">
      <c r="A11" s="11"/>
      <c r="B11" s="13" t="s">
        <v>71</v>
      </c>
      <c r="C11" s="13"/>
      <c r="D11" s="13"/>
      <c r="E11" s="13"/>
      <c r="F11" s="151"/>
      <c r="G11" s="14"/>
      <c r="H11" s="16"/>
      <c r="I11" s="16"/>
      <c r="J11" s="16"/>
      <c r="K11" s="16"/>
      <c r="L11" s="16"/>
      <c r="M11" s="16"/>
      <c r="N11" s="16"/>
      <c r="O11" s="16"/>
      <c r="P11" s="16"/>
      <c r="Q11" s="11"/>
      <c r="R11" s="11"/>
      <c r="S11" s="11"/>
    </row>
    <row r="12" spans="1:19" ht="19.5" customHeight="1" thickBot="1" x14ac:dyDescent="0.45">
      <c r="A12" s="11" t="s">
        <v>64</v>
      </c>
      <c r="B12" s="11" t="s">
        <v>65</v>
      </c>
      <c r="C12" s="11"/>
      <c r="D12" s="11"/>
      <c r="E12" s="11"/>
      <c r="F12" s="150">
        <v>1.9</v>
      </c>
      <c r="H12" s="16"/>
      <c r="I12" s="16"/>
      <c r="J12" s="16"/>
      <c r="K12" s="16"/>
      <c r="L12" s="16"/>
      <c r="M12" s="16"/>
      <c r="N12" s="16"/>
      <c r="O12" s="16"/>
      <c r="P12" s="16"/>
      <c r="Q12" s="11"/>
      <c r="R12" s="11"/>
      <c r="S12" s="11"/>
    </row>
    <row r="13" spans="1:19" ht="19.5" customHeight="1" thickBot="1" x14ac:dyDescent="0.45">
      <c r="A13" s="11"/>
      <c r="B13" s="11"/>
      <c r="C13" s="11"/>
      <c r="D13" s="11"/>
      <c r="E13" s="11"/>
      <c r="F13" s="152"/>
      <c r="H13" s="16"/>
      <c r="I13" s="16"/>
      <c r="J13" s="16"/>
      <c r="K13" s="16"/>
      <c r="L13" s="16"/>
      <c r="M13" s="16"/>
      <c r="N13" s="16"/>
      <c r="O13" s="16"/>
      <c r="P13" s="16"/>
      <c r="Q13" s="11"/>
      <c r="R13" s="11"/>
      <c r="S13" s="11"/>
    </row>
    <row r="14" spans="1:19" ht="19.5" customHeight="1" thickBot="1" x14ac:dyDescent="0.45">
      <c r="A14" s="11" t="s">
        <v>66</v>
      </c>
      <c r="B14" s="11" t="s">
        <v>67</v>
      </c>
      <c r="C14" s="11"/>
      <c r="D14" s="11"/>
      <c r="E14" s="11"/>
      <c r="F14" s="150">
        <v>2.1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19.5" customHeight="1" thickBot="1" x14ac:dyDescent="0.45">
      <c r="A15" s="11"/>
      <c r="B15" s="11" t="s">
        <v>68</v>
      </c>
      <c r="C15" s="11"/>
      <c r="D15" s="11"/>
      <c r="E15" s="11"/>
      <c r="F15" s="15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19.5" customHeight="1" thickBot="1" x14ac:dyDescent="0.45">
      <c r="A16" s="11"/>
      <c r="B16" s="11"/>
      <c r="C16" s="11"/>
      <c r="D16" s="11"/>
      <c r="E16" s="11"/>
      <c r="F16" s="15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19.5" customHeight="1" thickBot="1" x14ac:dyDescent="0.45">
      <c r="A17" s="11" t="s">
        <v>62</v>
      </c>
      <c r="B17" s="11" t="s">
        <v>69</v>
      </c>
      <c r="C17" s="11"/>
      <c r="D17" s="11"/>
      <c r="E17" s="11"/>
      <c r="F17" s="150">
        <v>0.25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19.5" customHeight="1" thickBot="1" x14ac:dyDescent="0.45">
      <c r="A18" s="11"/>
      <c r="B18" s="11" t="s">
        <v>70</v>
      </c>
      <c r="C18" s="11"/>
      <c r="D18" s="11"/>
      <c r="E18" s="11"/>
      <c r="F18" s="150">
        <v>1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ht="18.75" customHeight="1" thickBot="1" x14ac:dyDescent="0.45">
      <c r="A19" s="11"/>
      <c r="B19" s="11"/>
      <c r="C19" s="11"/>
      <c r="D19" s="11"/>
      <c r="E19" s="11"/>
      <c r="F19" s="152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19.5" customHeight="1" thickBot="1" x14ac:dyDescent="0.45">
      <c r="A20" s="12" t="s">
        <v>89</v>
      </c>
      <c r="B20" s="12"/>
      <c r="C20" s="12" t="s">
        <v>90</v>
      </c>
      <c r="D20" s="11"/>
      <c r="E20" s="11"/>
      <c r="F20" s="15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ht="30.75" customHeight="1" x14ac:dyDescent="0.4">
      <c r="A21" s="11"/>
      <c r="B21" s="11"/>
      <c r="C21" s="11"/>
      <c r="D21" s="11"/>
      <c r="E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ht="18.75" x14ac:dyDescent="0.4"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ht="18.75" x14ac:dyDescent="0.4"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</sheetData>
  <mergeCells count="1">
    <mergeCell ref="A4:B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2025-11-11T22:23:25Z</cp:lastPrinted>
  <dcterms:created xsi:type="dcterms:W3CDTF">2023-10-31T20:19:37Z</dcterms:created>
  <dcterms:modified xsi:type="dcterms:W3CDTF">2025-11-11T23:15:54Z</dcterms:modified>
  <dc:language>es-MX</dc:language>
</cp:coreProperties>
</file>