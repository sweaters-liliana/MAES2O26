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09 CAPRI MOLDEADOR\"/>
    </mc:Choice>
  </mc:AlternateContent>
  <xr:revisionPtr revIDLastSave="0" documentId="13_ncr:1_{B6C3E6DF-250D-4802-A4DB-02E934BC1C8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confeccion" sheetId="2" r:id="rId2"/>
    <sheet name="Hoja2" sheetId="3" r:id="rId3"/>
    <sheet name="Hoja3" sheetId="4" r:id="rId4"/>
    <sheet name="Hoja4" sheetId="5" r:id="rId5"/>
    <sheet name="Hoja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1" l="1"/>
  <c r="D8" i="3"/>
  <c r="D3" i="2"/>
  <c r="Y14" i="1"/>
  <c r="D12" i="3" l="1"/>
  <c r="D10" i="3"/>
  <c r="D14" i="3" s="1"/>
  <c r="D17" i="3" s="1"/>
  <c r="D1" i="3"/>
</calcChain>
</file>

<file path=xl/sharedStrings.xml><?xml version="1.0" encoding="utf-8"?>
<sst xmlns="http://schemas.openxmlformats.org/spreadsheetml/2006/main" count="94" uniqueCount="57">
  <si>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</si>
  <si>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</si>
  <si>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</si>
  <si>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</si>
  <si>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</si>
  <si>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</si>
  <si>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</si>
  <si>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</si>
  <si>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</si>
  <si>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</si>
  <si>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</si>
  <si>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</si>
  <si>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</si>
  <si>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</si>
  <si>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</si>
  <si>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</si>
  <si>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</si>
  <si>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</si>
  <si>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</si>
  <si>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</si>
  <si>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TOP2V</t>
  </si>
  <si>
    <t>#6</t>
  </si>
  <si>
    <t>BOXER</t>
  </si>
  <si>
    <t>#5</t>
  </si>
  <si>
    <t>CARGA BORDOS</t>
  </si>
  <si>
    <t>LICRA GUATEMALA</t>
  </si>
  <si>
    <t>40/40/34</t>
  </si>
  <si>
    <t>CHICA</t>
  </si>
  <si>
    <t>GRANDE</t>
  </si>
  <si>
    <t>MEDIANA</t>
  </si>
  <si>
    <t>CIXING</t>
  </si>
  <si>
    <t>LIENZO PUENTES</t>
  </si>
  <si>
    <r>
      <t>B09K</t>
    </r>
    <r>
      <rPr>
        <b/>
        <u/>
        <sz val="22"/>
        <rFont val="Consolas"/>
        <family val="3"/>
      </rPr>
      <t>30</t>
    </r>
    <r>
      <rPr>
        <sz val="20"/>
        <rFont val="Consolas"/>
        <family val="3"/>
      </rPr>
      <t>CH</t>
    </r>
  </si>
  <si>
    <r>
      <t>B09K</t>
    </r>
    <r>
      <rPr>
        <b/>
        <u/>
        <sz val="22"/>
        <rFont val="Consolas"/>
        <family val="3"/>
      </rPr>
      <t>38</t>
    </r>
    <r>
      <rPr>
        <sz val="20"/>
        <rFont val="Consolas"/>
        <family val="3"/>
      </rPr>
      <t>ME</t>
    </r>
  </si>
  <si>
    <r>
      <t>B09K</t>
    </r>
    <r>
      <rPr>
        <b/>
        <u/>
        <sz val="20"/>
        <rFont val="Consolas"/>
        <family val="3"/>
      </rPr>
      <t>39</t>
    </r>
    <r>
      <rPr>
        <sz val="20"/>
        <rFont val="Consolas"/>
        <family val="3"/>
      </rPr>
      <t>GR</t>
    </r>
  </si>
  <si>
    <r>
      <t>B09</t>
    </r>
    <r>
      <rPr>
        <b/>
        <u/>
        <sz val="18"/>
        <rFont val="Consolas"/>
        <family val="3"/>
      </rPr>
      <t>PUENTES</t>
    </r>
    <r>
      <rPr>
        <sz val="16"/>
        <rFont val="Consolas"/>
        <family val="3"/>
      </rPr>
      <t>38</t>
    </r>
  </si>
  <si>
    <t>CAPRI MOLDEADOR</t>
  </si>
  <si>
    <t>12 pares</t>
  </si>
  <si>
    <t>cortar puentes LAZER</t>
  </si>
  <si>
    <t>Olear puente alcetin</t>
  </si>
  <si>
    <t>Unir los 2  puentes</t>
  </si>
  <si>
    <t>Cortar Capri</t>
  </si>
  <si>
    <t>Overlock Pegar puente</t>
  </si>
  <si>
    <t>Overlock cerrar Piernas</t>
  </si>
  <si>
    <t>Pasada de FLAT</t>
  </si>
  <si>
    <t xml:space="preserve">2 Remates </t>
  </si>
  <si>
    <t>Etiqueta</t>
  </si>
  <si>
    <t>Desebrado</t>
  </si>
  <si>
    <t>Planchar Talla EX</t>
  </si>
  <si>
    <t>Likra</t>
  </si>
  <si>
    <t>teñido</t>
  </si>
  <si>
    <t>Confeccion</t>
  </si>
  <si>
    <t>G.P.</t>
  </si>
  <si>
    <t>ajuste</t>
  </si>
  <si>
    <t>util</t>
  </si>
  <si>
    <t>EXTRA G</t>
  </si>
  <si>
    <r>
      <t>B09K</t>
    </r>
    <r>
      <rPr>
        <b/>
        <u/>
        <sz val="20"/>
        <rFont val="Consolas"/>
        <family val="3"/>
      </rPr>
      <t>39</t>
    </r>
    <r>
      <rPr>
        <sz val="20"/>
        <rFont val="Consolas"/>
        <family val="3"/>
      </rPr>
      <t>XG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</si>
</sst>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"/>
    <numFmt numFmtId="167" formatCode="&quot;$&quot;#,##0.0"/>
  </numFmts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b/>
      <sz val="12"/>
      <color rgb="FFFFFF00"/>
      <name val="Consolas"/>
      <family val="3"/>
    </font>
    <font>
      <sz val="18"/>
      <color rgb="FF000000"/>
      <name val="Consolas"/>
      <family val="3"/>
    </font>
    <font>
      <b/>
      <u/>
      <sz val="20"/>
      <name val="Consolas"/>
      <family val="3"/>
    </font>
    <font>
      <b/>
      <u/>
      <sz val="22"/>
      <name val="Consolas"/>
      <family val="3"/>
    </font>
    <font>
      <sz val="14"/>
      <color rgb="FF000000"/>
      <name val="Consolas"/>
      <family val="3"/>
    </font>
    <font>
      <b/>
      <u/>
      <sz val="18"/>
      <name val="Consolas"/>
      <family val="3"/>
    </font>
    <font>
      <sz val="14"/>
      <color theme="1"/>
      <name val="Calibri"/>
      <family val="2"/>
    </font>
    <font>
      <b/>
      <sz val="22"/>
      <color theme="1"/>
      <name val="Calibri"/>
      <family val="2"/>
    </font>
    <font>
      <sz val="14"/>
      <color theme="1"/>
      <name val="Bernard MT Condensed"/>
      <family val="1"/>
    </font>
    <font>
      <sz val="11"/>
      <color theme="0"/>
      <name val="Calibri"/>
      <family val="2"/>
    </font>
    <font>
      <sz val="14"/>
      <color theme="0"/>
      <name val="Bernard MT Condensed"/>
      <family val="1"/>
    </font>
    <font>
      <sz val="14"/>
      <color theme="0"/>
      <name val="Calibri"/>
      <family val="2"/>
    </font>
    <font>
      <b/>
      <sz val="22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rgb="FFFFFFCC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228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21" fillId="2" borderId="1" xfId="0" applyFont="1" applyFill="1" applyBorder="1" applyAlignment="1">
      <alignment vertical="center" wrapText="1"/>
    </xf>
    <xf numFmtId="0" fontId="21" fillId="2" borderId="3" xfId="0" applyFont="1" applyFill="1" applyBorder="1" applyAlignment="1">
      <alignment vertical="center" wrapText="1"/>
    </xf>
    <xf numFmtId="0" fontId="31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 applyAlignment="1">
      <alignment vertical="center" wrapText="1"/>
    </xf>
    <xf numFmtId="0" fontId="34" fillId="10" borderId="0" xfId="0" applyFont="1" applyFill="1"/>
    <xf numFmtId="0" fontId="35" fillId="10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0" fontId="36" fillId="10" borderId="16" xfId="0" applyFont="1" applyFill="1" applyBorder="1" applyAlignment="1">
      <alignment horizontal="center" vertical="center"/>
    </xf>
    <xf numFmtId="0" fontId="36" fillId="10" borderId="0" xfId="0" applyFont="1" applyFill="1" applyAlignment="1">
      <alignment horizontal="right"/>
    </xf>
    <xf numFmtId="0" fontId="18" fillId="2" borderId="1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49" fontId="24" fillId="2" borderId="12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49" fontId="24" fillId="2" borderId="7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9" fontId="25" fillId="7" borderId="5" xfId="3" applyFont="1" applyFill="1" applyBorder="1" applyAlignment="1">
      <alignment horizontal="center" vertical="center" wrapText="1"/>
    </xf>
    <xf numFmtId="9" fontId="25" fillId="7" borderId="8" xfId="3" applyFont="1" applyFill="1" applyBorder="1" applyAlignment="1">
      <alignment horizontal="center" vertical="center" wrapText="1"/>
    </xf>
    <xf numFmtId="9" fontId="25" fillId="7" borderId="6" xfId="3" applyFont="1" applyFill="1" applyBorder="1" applyAlignment="1">
      <alignment horizontal="center" vertical="center" wrapText="1"/>
    </xf>
    <xf numFmtId="9" fontId="25" fillId="7" borderId="9" xfId="3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66" fontId="21" fillId="2" borderId="5" xfId="0" applyNumberFormat="1" applyFont="1" applyFill="1" applyBorder="1" applyAlignment="1">
      <alignment horizontal="center" vertical="center" wrapText="1"/>
    </xf>
    <xf numFmtId="166" fontId="21" fillId="2" borderId="1" xfId="0" applyNumberFormat="1" applyFont="1" applyFill="1" applyBorder="1" applyAlignment="1">
      <alignment horizontal="center" vertical="center" wrapText="1"/>
    </xf>
    <xf numFmtId="166" fontId="21" fillId="2" borderId="6" xfId="0" applyNumberFormat="1" applyFont="1" applyFill="1" applyBorder="1" applyAlignment="1">
      <alignment horizontal="center" vertical="center" wrapText="1"/>
    </xf>
    <xf numFmtId="166" fontId="21" fillId="2" borderId="3" xfId="0" applyNumberFormat="1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9" fillId="2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167" fontId="33" fillId="0" borderId="0" xfId="0" applyNumberFormat="1" applyFont="1" applyAlignment="1">
      <alignment horizontal="center" vertical="center"/>
    </xf>
    <xf numFmtId="0" fontId="23" fillId="9" borderId="0" xfId="0" applyFont="1" applyFill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1" fillId="11" borderId="13" xfId="0" applyFont="1" applyFill="1" applyBorder="1" applyAlignment="1">
      <alignment horizontal="center" vertical="center" wrapText="1"/>
    </xf>
    <xf numFmtId="0" fontId="14" fillId="11" borderId="1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49" fontId="11" fillId="11" borderId="12" xfId="0" applyNumberFormat="1" applyFont="1" applyFill="1" applyBorder="1" applyAlignment="1">
      <alignment horizontal="center" vertical="center" wrapText="1"/>
    </xf>
    <xf numFmtId="49" fontId="11" fillId="11" borderId="2" xfId="0" applyNumberFormat="1" applyFont="1" applyFill="1" applyBorder="1" applyAlignment="1">
      <alignment horizontal="center" vertical="center" wrapText="1"/>
    </xf>
    <xf numFmtId="49" fontId="11" fillId="11" borderId="7" xfId="0" applyNumberFormat="1" applyFont="1" applyFill="1" applyBorder="1" applyAlignment="1">
      <alignment horizontal="center" vertical="center" wrapText="1"/>
    </xf>
    <xf numFmtId="49" fontId="11" fillId="11" borderId="4" xfId="0" applyNumberFormat="1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vertical="center" wrapText="1"/>
    </xf>
    <xf numFmtId="49" fontId="15" fillId="11" borderId="12" xfId="0" applyNumberFormat="1" applyFont="1" applyFill="1" applyBorder="1" applyAlignment="1">
      <alignment horizontal="center" vertical="center" wrapText="1"/>
    </xf>
    <xf numFmtId="49" fontId="15" fillId="11" borderId="2" xfId="0" applyNumberFormat="1" applyFont="1" applyFill="1" applyBorder="1" applyAlignment="1">
      <alignment horizontal="center" vertical="center" wrapText="1"/>
    </xf>
    <xf numFmtId="0" fontId="14" fillId="11" borderId="14" xfId="0" applyFont="1" applyFill="1" applyBorder="1" applyAlignment="1">
      <alignment horizontal="center" vertical="center" wrapText="1"/>
    </xf>
    <xf numFmtId="49" fontId="15" fillId="11" borderId="7" xfId="0" applyNumberFormat="1" applyFont="1" applyFill="1" applyBorder="1" applyAlignment="1">
      <alignment horizontal="center" vertical="center" wrapText="1"/>
    </xf>
    <xf numFmtId="49" fontId="15" fillId="11" borderId="4" xfId="0" applyNumberFormat="1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49" fontId="24" fillId="11" borderId="12" xfId="0" applyNumberFormat="1" applyFont="1" applyFill="1" applyBorder="1" applyAlignment="1">
      <alignment horizontal="center" vertical="center" wrapText="1"/>
    </xf>
    <xf numFmtId="49" fontId="24" fillId="11" borderId="2" xfId="0" applyNumberFormat="1" applyFont="1" applyFill="1" applyBorder="1" applyAlignment="1">
      <alignment horizontal="center" vertical="center" wrapText="1"/>
    </xf>
    <xf numFmtId="0" fontId="24" fillId="11" borderId="14" xfId="0" applyFont="1" applyFill="1" applyBorder="1" applyAlignment="1">
      <alignment horizontal="center" vertical="center" wrapText="1"/>
    </xf>
    <xf numFmtId="49" fontId="24" fillId="11" borderId="7" xfId="0" applyNumberFormat="1" applyFont="1" applyFill="1" applyBorder="1" applyAlignment="1">
      <alignment horizontal="center" vertical="center" wrapText="1"/>
    </xf>
    <xf numFmtId="49" fontId="24" fillId="11" borderId="4" xfId="0" applyNumberFormat="1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1" fillId="11" borderId="3" xfId="0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165" fontId="18" fillId="11" borderId="5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165" fontId="18" fillId="11" borderId="6" xfId="0" applyNumberFormat="1" applyFont="1" applyFill="1" applyBorder="1" applyAlignment="1">
      <alignment horizontal="center" vertical="center" wrapText="1"/>
    </xf>
    <xf numFmtId="165" fontId="18" fillId="11" borderId="3" xfId="0" applyNumberFormat="1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45" fontId="18" fillId="11" borderId="5" xfId="0" applyNumberFormat="1" applyFont="1" applyFill="1" applyBorder="1" applyAlignment="1">
      <alignment horizontal="center" vertical="center" wrapText="1"/>
    </xf>
    <xf numFmtId="45" fontId="18" fillId="11" borderId="1" xfId="0" applyNumberFormat="1" applyFont="1" applyFill="1" applyBorder="1" applyAlignment="1">
      <alignment horizontal="center" vertical="center" wrapText="1"/>
    </xf>
    <xf numFmtId="46" fontId="19" fillId="11" borderId="2" xfId="0" applyNumberFormat="1" applyFont="1" applyFill="1" applyBorder="1" applyAlignment="1">
      <alignment horizontal="center" vertical="center" wrapText="1"/>
    </xf>
    <xf numFmtId="45" fontId="18" fillId="11" borderId="6" xfId="0" applyNumberFormat="1" applyFont="1" applyFill="1" applyBorder="1" applyAlignment="1">
      <alignment horizontal="center" vertical="center" wrapText="1"/>
    </xf>
    <xf numFmtId="45" fontId="18" fillId="11" borderId="3" xfId="0" applyNumberFormat="1" applyFont="1" applyFill="1" applyBorder="1" applyAlignment="1">
      <alignment horizontal="center" vertical="center" wrapText="1"/>
    </xf>
    <xf numFmtId="46" fontId="19" fillId="11" borderId="4" xfId="0" applyNumberFormat="1" applyFont="1" applyFill="1" applyBorder="1" applyAlignment="1">
      <alignment horizontal="center" vertical="center" wrapText="1"/>
    </xf>
    <xf numFmtId="0" fontId="37" fillId="11" borderId="5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7" fillId="11" borderId="6" xfId="0" applyFont="1" applyFill="1" applyBorder="1" applyAlignment="1">
      <alignment horizontal="center" vertical="center" wrapText="1"/>
    </xf>
    <xf numFmtId="0" fontId="37" fillId="11" borderId="3" xfId="0" applyFont="1" applyFill="1" applyBorder="1" applyAlignment="1">
      <alignment horizontal="center" vertical="center" wrapText="1"/>
    </xf>
    <xf numFmtId="0" fontId="37" fillId="11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19050</xdr:rowOff>
    </xdr:from>
    <xdr:to>
      <xdr:col>3</xdr:col>
      <xdr:colOff>666749</xdr:colOff>
      <xdr:row>16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8912" l="9949" r="77187">
                      <a14:foregroundMark x1="18010" y1="94966" x2="37221" y2="11701"/>
                      <a14:foregroundMark x1="39966" y1="7619" x2="40480" y2="43401"/>
                      <a14:foregroundMark x1="46998" y1="6395" x2="40137" y2="11156"/>
                      <a14:foregroundMark x1="40137" y1="11156" x2="38593" y2="24898"/>
                      <a14:foregroundMark x1="38593" y1="24898" x2="40480" y2="26531"/>
                      <a14:foregroundMark x1="50429" y1="6667" x2="44940" y2="11701"/>
                      <a14:foregroundMark x1="44940" y1="11701" x2="41509" y2="21633"/>
                      <a14:foregroundMark x1="49400" y1="7619" x2="47856" y2="27347"/>
                      <a14:foregroundMark x1="47856" y1="27347" x2="47856" y2="27347"/>
                      <a14:foregroundMark x1="51586" y1="1440" x2="44254" y2="3265"/>
                      <a14:foregroundMark x1="49743" y1="1633" x2="31732" y2="52925"/>
                      <a14:foregroundMark x1="31732" y1="52925" x2="32247" y2="55918"/>
                      <a14:foregroundMark x1="23671" y1="38095" x2="50772" y2="74286"/>
                      <a14:foregroundMark x1="50772" y1="74286" x2="48027" y2="96054"/>
                      <a14:foregroundMark x1="48027" y1="96054" x2="46827" y2="98912"/>
                      <a14:foregroundMark x1="52487" y1="74422" x2="52144" y2="66803"/>
                      <a14:foregroundMark x1="52144" y1="66803" x2="28988" y2="36054"/>
                      <a14:foregroundMark x1="28988" y1="36054" x2="28988" y2="36054"/>
                      <a14:foregroundMark x1="35678" y1="41905" x2="49914" y2="55918"/>
                      <a14:foregroundMark x1="49914" y1="55918" x2="57633" y2="70748"/>
                      <a14:foregroundMark x1="57633" y1="70748" x2="55403" y2="84354"/>
                      <a14:foregroundMark x1="18525" y1="97687" x2="22127" y2="55510"/>
                      <a14:foregroundMark x1="22127" y1="55510" x2="17667" y2="39592"/>
                      <a14:foregroundMark x1="17667" y1="39592" x2="35678" y2="20680"/>
                      <a14:foregroundMark x1="35678" y1="20680" x2="36364" y2="17823"/>
                      <a14:foregroundMark x1="29503" y1="2041" x2="36707" y2="20816"/>
                      <a14:foregroundMark x1="36707" y1="20816" x2="36707" y2="45170"/>
                      <a14:foregroundMark x1="36707" y1="45170" x2="33791" y2="52653"/>
                      <a14:foregroundMark x1="29674" y1="2585" x2="37736" y2="41633"/>
                      <a14:foregroundMark x1="39623" y1="5170" x2="30875" y2="2449"/>
                      <a14:foregroundMark x1="30875" y1="2449" x2="32247" y2="11429"/>
                      <a14:foregroundMark x1="32247" y1="11429" x2="34648" y2="12789"/>
                      <a14:foregroundMark x1="26072" y1="1769" x2="41338" y2="34694"/>
                      <a14:foregroundMark x1="41338" y1="34694" x2="41338" y2="34694"/>
                      <a14:foregroundMark x1="24700" y1="2721" x2="37564" y2="36463"/>
                      <a14:foregroundMark x1="37564" y1="36463" x2="37564" y2="36599"/>
                      <a14:foregroundMark x1="23328" y1="272" x2="33448" y2="9252"/>
                      <a14:foregroundMark x1="18010" y1="32245" x2="12178" y2="41088"/>
                      <a14:foregroundMark x1="12178" y1="41088" x2="14065" y2="57007"/>
                      <a14:foregroundMark x1="14065" y1="57007" x2="24185" y2="62993"/>
                      <a14:foregroundMark x1="9949" y1="38503" x2="29846" y2="30476"/>
                      <a14:backgroundMark x1="52487" y1="544" x2="64494" y2="367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137" r="32914" b="2894"/>
        <a:stretch/>
      </xdr:blipFill>
      <xdr:spPr>
        <a:xfrm>
          <a:off x="136071" y="495300"/>
          <a:ext cx="1374321" cy="27159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4</xdr:row>
      <xdr:rowOff>38100</xdr:rowOff>
    </xdr:from>
    <xdr:to>
      <xdr:col>6</xdr:col>
      <xdr:colOff>552450</xdr:colOff>
      <xdr:row>19</xdr:row>
      <xdr:rowOff>42723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8912" l="9949" r="77187">
                      <a14:foregroundMark x1="18010" y1="94966" x2="37221" y2="11701"/>
                      <a14:foregroundMark x1="39966" y1="7619" x2="40480" y2="43401"/>
                      <a14:foregroundMark x1="46998" y1="6395" x2="40137" y2="11156"/>
                      <a14:foregroundMark x1="40137" y1="11156" x2="38593" y2="24898"/>
                      <a14:foregroundMark x1="38593" y1="24898" x2="40480" y2="26531"/>
                      <a14:foregroundMark x1="50429" y1="6667" x2="44940" y2="11701"/>
                      <a14:foregroundMark x1="44940" y1="11701" x2="41509" y2="21633"/>
                      <a14:foregroundMark x1="49400" y1="7619" x2="47856" y2="27347"/>
                      <a14:foregroundMark x1="47856" y1="27347" x2="47856" y2="27347"/>
                      <a14:foregroundMark x1="51586" y1="1440" x2="44254" y2="3265"/>
                      <a14:foregroundMark x1="49743" y1="1633" x2="31732" y2="52925"/>
                      <a14:foregroundMark x1="31732" y1="52925" x2="32247" y2="55918"/>
                      <a14:foregroundMark x1="23671" y1="38095" x2="50772" y2="74286"/>
                      <a14:foregroundMark x1="50772" y1="74286" x2="48027" y2="96054"/>
                      <a14:foregroundMark x1="48027" y1="96054" x2="46827" y2="98912"/>
                      <a14:foregroundMark x1="52487" y1="74422" x2="52144" y2="66803"/>
                      <a14:foregroundMark x1="52144" y1="66803" x2="28988" y2="36054"/>
                      <a14:foregroundMark x1="28988" y1="36054" x2="28988" y2="36054"/>
                      <a14:foregroundMark x1="35678" y1="41905" x2="49914" y2="55918"/>
                      <a14:foregroundMark x1="49914" y1="55918" x2="57633" y2="70748"/>
                      <a14:foregroundMark x1="57633" y1="70748" x2="55403" y2="84354"/>
                      <a14:foregroundMark x1="18525" y1="97687" x2="22127" y2="55510"/>
                      <a14:foregroundMark x1="22127" y1="55510" x2="17667" y2="39592"/>
                      <a14:foregroundMark x1="17667" y1="39592" x2="35678" y2="20680"/>
                      <a14:foregroundMark x1="35678" y1="20680" x2="36364" y2="17823"/>
                      <a14:foregroundMark x1="29503" y1="2041" x2="36707" y2="20816"/>
                      <a14:foregroundMark x1="36707" y1="20816" x2="36707" y2="45170"/>
                      <a14:foregroundMark x1="36707" y1="45170" x2="33791" y2="52653"/>
                      <a14:foregroundMark x1="29674" y1="2585" x2="37736" y2="41633"/>
                      <a14:foregroundMark x1="39623" y1="5170" x2="30875" y2="2449"/>
                      <a14:foregroundMark x1="30875" y1="2449" x2="32247" y2="11429"/>
                      <a14:foregroundMark x1="32247" y1="11429" x2="34648" y2="12789"/>
                      <a14:foregroundMark x1="26072" y1="1769" x2="41338" y2="34694"/>
                      <a14:foregroundMark x1="41338" y1="34694" x2="41338" y2="34694"/>
                      <a14:foregroundMark x1="24700" y1="2721" x2="37564" y2="36463"/>
                      <a14:foregroundMark x1="37564" y1="36463" x2="37564" y2="36599"/>
                      <a14:foregroundMark x1="23328" y1="272" x2="33448" y2="9252"/>
                      <a14:foregroundMark x1="18010" y1="32245" x2="12178" y2="41088"/>
                      <a14:foregroundMark x1="12178" y1="41088" x2="14065" y2="57007"/>
                      <a14:foregroundMark x1="14065" y1="57007" x2="24185" y2="62993"/>
                      <a14:foregroundMark x1="9949" y1="38503" x2="29846" y2="30476"/>
                      <a14:backgroundMark x1="52487" y1="544" x2="64494" y2="367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137" r="32914" b="2894"/>
        <a:stretch/>
      </xdr:blipFill>
      <xdr:spPr>
        <a:xfrm>
          <a:off x="2952750" y="990600"/>
          <a:ext cx="1809750" cy="3576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82"/>
  <sheetViews>
    <sheetView showGridLines="0" tabSelected="1" zoomScale="70" zoomScaleNormal="70" workbookViewId="0">
      <selection activeCell="V34" sqref="A1:V34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7.7109375" customWidth="1"/>
    <col min="8" max="8" width="8.7109375" customWidth="1"/>
    <col min="9" max="9" width="5.7109375" customWidth="1"/>
    <col min="10" max="10" width="7.7109375" customWidth="1"/>
    <col min="11" max="11" width="8.7109375" customWidth="1"/>
    <col min="12" max="12" width="5.7109375" customWidth="1"/>
    <col min="13" max="13" width="7.7109375" customWidth="1"/>
    <col min="14" max="14" width="8.7109375" customWidth="1"/>
    <col min="15" max="15" width="5.7109375" customWidth="1"/>
    <col min="16" max="16" width="7.7109375" customWidth="1"/>
    <col min="17" max="17" width="8.7109375" customWidth="1"/>
    <col min="18" max="18" width="5.7109375" customWidth="1"/>
    <col min="19" max="19" width="7.7109375" customWidth="1"/>
    <col min="20" max="20" width="8.7109375" customWidth="1"/>
    <col min="21" max="21" width="7.28515625" customWidth="1"/>
    <col min="22" max="23" width="0.85546875" customWidth="1"/>
  </cols>
  <sheetData>
    <row r="1" spans="1:27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t="s">
        <v>0</v>
      </c>
    </row>
    <row r="2" spans="1:27" ht="15.95" customHeight="1" x14ac:dyDescent="0.25">
      <c r="B2" s="135" t="s">
        <v>1</v>
      </c>
      <c r="C2" s="136"/>
      <c r="D2" s="137"/>
      <c r="E2" s="115" t="s">
        <v>2</v>
      </c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7"/>
    </row>
    <row r="3" spans="1:27" ht="15.95" customHeight="1" thickBot="1" x14ac:dyDescent="0.3">
      <c r="B3" s="138"/>
      <c r="C3" s="139"/>
      <c r="D3" s="140"/>
      <c r="E3" s="118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20"/>
    </row>
    <row r="4" spans="1:27" ht="12.95" customHeight="1" x14ac:dyDescent="0.25">
      <c r="B4" s="1"/>
      <c r="C4" s="4"/>
      <c r="D4" s="5"/>
      <c r="E4" s="141" t="s">
        <v>36</v>
      </c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3"/>
    </row>
    <row r="5" spans="1:27" ht="12.95" customHeight="1" x14ac:dyDescent="0.25">
      <c r="B5" s="1"/>
      <c r="C5" s="4"/>
      <c r="D5" s="6"/>
      <c r="E5" s="144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6"/>
    </row>
    <row r="6" spans="1:27" ht="20.25" customHeight="1" x14ac:dyDescent="0.25">
      <c r="B6" s="1"/>
      <c r="C6" s="4"/>
      <c r="D6" s="6"/>
      <c r="E6" s="144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6"/>
    </row>
    <row r="7" spans="1:27" ht="4.5" customHeight="1" thickBot="1" x14ac:dyDescent="0.3">
      <c r="B7" s="1"/>
      <c r="C7" s="4"/>
      <c r="D7" s="6"/>
      <c r="E7" s="147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9"/>
    </row>
    <row r="8" spans="1:27" ht="15.95" customHeight="1" x14ac:dyDescent="0.25">
      <c r="B8" s="1"/>
      <c r="C8" s="4"/>
      <c r="D8" s="6"/>
      <c r="E8" s="121" t="s">
        <v>4</v>
      </c>
      <c r="F8" s="122"/>
      <c r="G8" s="38" t="s">
        <v>27</v>
      </c>
      <c r="H8" s="39"/>
      <c r="I8" s="40"/>
      <c r="J8" s="38" t="s">
        <v>29</v>
      </c>
      <c r="K8" s="39"/>
      <c r="L8" s="40"/>
      <c r="M8" s="222" t="s">
        <v>28</v>
      </c>
      <c r="N8" s="223"/>
      <c r="O8" s="224"/>
      <c r="P8" s="38" t="s">
        <v>55</v>
      </c>
      <c r="Q8" s="39"/>
      <c r="R8" s="40"/>
      <c r="S8" s="129" t="s">
        <v>31</v>
      </c>
      <c r="T8" s="130"/>
      <c r="U8" s="131"/>
    </row>
    <row r="9" spans="1:27" ht="15.95" customHeight="1" thickBot="1" x14ac:dyDescent="0.3">
      <c r="B9" s="1"/>
      <c r="C9" s="4"/>
      <c r="D9" s="6"/>
      <c r="E9" s="123"/>
      <c r="F9" s="124"/>
      <c r="G9" s="41"/>
      <c r="H9" s="42"/>
      <c r="I9" s="43"/>
      <c r="J9" s="41"/>
      <c r="K9" s="42"/>
      <c r="L9" s="43"/>
      <c r="M9" s="225"/>
      <c r="N9" s="226"/>
      <c r="O9" s="227"/>
      <c r="P9" s="41"/>
      <c r="Q9" s="42"/>
      <c r="R9" s="43"/>
      <c r="S9" s="132"/>
      <c r="T9" s="133"/>
      <c r="U9" s="134"/>
    </row>
    <row r="10" spans="1:27" ht="21" customHeight="1" x14ac:dyDescent="0.25">
      <c r="B10" s="1"/>
      <c r="C10" s="4"/>
      <c r="D10" s="6"/>
      <c r="E10" s="121" t="s">
        <v>3</v>
      </c>
      <c r="F10" s="122"/>
      <c r="G10" s="44" t="s">
        <v>22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9"/>
      <c r="S10" s="45" t="s">
        <v>37</v>
      </c>
      <c r="T10" s="45"/>
      <c r="U10" s="46"/>
    </row>
    <row r="11" spans="1:27" ht="15.95" customHeight="1" thickBot="1" x14ac:dyDescent="0.3">
      <c r="B11" s="1"/>
      <c r="C11" s="4"/>
      <c r="D11" s="6"/>
      <c r="E11" s="123"/>
      <c r="F11" s="124"/>
      <c r="G11" s="47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10"/>
      <c r="S11" s="48"/>
      <c r="T11" s="48"/>
      <c r="U11" s="49"/>
    </row>
    <row r="12" spans="1:27" ht="15.95" customHeight="1" x14ac:dyDescent="0.25">
      <c r="B12" s="1"/>
      <c r="C12" s="4"/>
      <c r="D12" s="6"/>
      <c r="E12" s="125" t="s">
        <v>5</v>
      </c>
      <c r="F12" s="126"/>
      <c r="G12" s="44" t="s">
        <v>32</v>
      </c>
      <c r="H12" s="45"/>
      <c r="I12" s="46"/>
      <c r="J12" s="44" t="s">
        <v>33</v>
      </c>
      <c r="K12" s="45"/>
      <c r="L12" s="46"/>
      <c r="M12" s="204" t="s">
        <v>34</v>
      </c>
      <c r="N12" s="205"/>
      <c r="O12" s="206"/>
      <c r="P12" s="44" t="s">
        <v>56</v>
      </c>
      <c r="Q12" s="45"/>
      <c r="R12" s="46"/>
      <c r="S12" s="105" t="s">
        <v>35</v>
      </c>
      <c r="T12" s="106"/>
      <c r="U12" s="107"/>
    </row>
    <row r="13" spans="1:27" ht="15.95" customHeight="1" thickBot="1" x14ac:dyDescent="0.3">
      <c r="B13" s="1"/>
      <c r="C13" s="4"/>
      <c r="D13" s="6"/>
      <c r="E13" s="127"/>
      <c r="F13" s="128"/>
      <c r="G13" s="47"/>
      <c r="H13" s="48"/>
      <c r="I13" s="49"/>
      <c r="J13" s="47"/>
      <c r="K13" s="48"/>
      <c r="L13" s="49"/>
      <c r="M13" s="207"/>
      <c r="N13" s="208"/>
      <c r="O13" s="209"/>
      <c r="P13" s="47"/>
      <c r="Q13" s="48"/>
      <c r="R13" s="49"/>
      <c r="S13" s="108"/>
      <c r="T13" s="109"/>
      <c r="U13" s="110"/>
    </row>
    <row r="14" spans="1:27" ht="15.95" customHeight="1" x14ac:dyDescent="0.25">
      <c r="B14" s="1"/>
      <c r="C14" s="4"/>
      <c r="D14" s="6"/>
      <c r="E14" s="121" t="s">
        <v>19</v>
      </c>
      <c r="F14" s="122"/>
      <c r="G14" s="50"/>
      <c r="H14" s="51"/>
      <c r="I14" s="54" t="s">
        <v>6</v>
      </c>
      <c r="J14" s="50"/>
      <c r="K14" s="51"/>
      <c r="L14" s="54" t="s">
        <v>6</v>
      </c>
      <c r="M14" s="210">
        <f>96*110%</f>
        <v>105.60000000000001</v>
      </c>
      <c r="N14" s="211"/>
      <c r="O14" s="212" t="s">
        <v>6</v>
      </c>
      <c r="P14" s="50"/>
      <c r="Q14" s="51"/>
      <c r="R14" s="54" t="s">
        <v>6</v>
      </c>
      <c r="S14" s="101">
        <v>7.0400000000000004E-2</v>
      </c>
      <c r="T14" s="102"/>
      <c r="U14" s="54" t="s">
        <v>6</v>
      </c>
      <c r="X14" s="74">
        <v>12</v>
      </c>
      <c r="Y14" s="75">
        <f>S14/X14</f>
        <v>5.8666666666666667E-3</v>
      </c>
      <c r="Z14" s="76"/>
      <c r="AA14" s="76"/>
    </row>
    <row r="15" spans="1:27" ht="15.95" customHeight="1" thickBot="1" x14ac:dyDescent="0.3">
      <c r="B15" s="1"/>
      <c r="C15" s="4"/>
      <c r="D15" s="6"/>
      <c r="E15" s="123"/>
      <c r="F15" s="124"/>
      <c r="G15" s="52"/>
      <c r="H15" s="53"/>
      <c r="I15" s="55"/>
      <c r="J15" s="52"/>
      <c r="K15" s="53"/>
      <c r="L15" s="55"/>
      <c r="M15" s="213"/>
      <c r="N15" s="214"/>
      <c r="O15" s="215"/>
      <c r="P15" s="52"/>
      <c r="Q15" s="53"/>
      <c r="R15" s="55"/>
      <c r="S15" s="103"/>
      <c r="T15" s="104"/>
      <c r="U15" s="55"/>
      <c r="X15" s="74"/>
      <c r="Y15" s="75"/>
      <c r="Z15" s="76"/>
      <c r="AA15" s="76"/>
    </row>
    <row r="16" spans="1:27" ht="15.95" customHeight="1" x14ac:dyDescent="0.25">
      <c r="B16" s="1"/>
      <c r="C16" s="4"/>
      <c r="D16" s="6"/>
      <c r="E16" s="121" t="s">
        <v>7</v>
      </c>
      <c r="F16" s="122"/>
      <c r="G16" s="56"/>
      <c r="H16" s="57"/>
      <c r="I16" s="60" t="s">
        <v>8</v>
      </c>
      <c r="J16" s="56"/>
      <c r="K16" s="57"/>
      <c r="L16" s="60" t="s">
        <v>8</v>
      </c>
      <c r="M16" s="216">
        <v>5.1041666666666666E-3</v>
      </c>
      <c r="N16" s="217"/>
      <c r="O16" s="218" t="s">
        <v>8</v>
      </c>
      <c r="P16" s="56"/>
      <c r="Q16" s="57"/>
      <c r="R16" s="60" t="s">
        <v>8</v>
      </c>
      <c r="S16" s="56">
        <v>3.1249999999999997E-3</v>
      </c>
      <c r="T16" s="57"/>
      <c r="U16" s="60" t="s">
        <v>8</v>
      </c>
    </row>
    <row r="17" spans="2:21" ht="15.95" customHeight="1" thickBot="1" x14ac:dyDescent="0.3">
      <c r="B17" s="2"/>
      <c r="C17" s="3"/>
      <c r="D17" s="7"/>
      <c r="E17" s="123"/>
      <c r="F17" s="124"/>
      <c r="G17" s="58"/>
      <c r="H17" s="59"/>
      <c r="I17" s="61"/>
      <c r="J17" s="58"/>
      <c r="K17" s="59"/>
      <c r="L17" s="61"/>
      <c r="M17" s="219"/>
      <c r="N17" s="220"/>
      <c r="O17" s="221"/>
      <c r="P17" s="58"/>
      <c r="Q17" s="59"/>
      <c r="R17" s="61"/>
      <c r="S17" s="58"/>
      <c r="T17" s="59"/>
      <c r="U17" s="61"/>
    </row>
    <row r="18" spans="2:21" ht="15.95" customHeight="1" x14ac:dyDescent="0.25">
      <c r="B18" s="160" t="s">
        <v>13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2"/>
    </row>
    <row r="19" spans="2:21" ht="15.95" customHeight="1" thickBot="1" x14ac:dyDescent="0.3">
      <c r="B19" s="163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5"/>
    </row>
    <row r="20" spans="2:21" ht="8.25" customHeight="1" x14ac:dyDescent="0.25">
      <c r="B20" s="156" t="s">
        <v>15</v>
      </c>
      <c r="C20" s="166"/>
      <c r="D20" s="166"/>
      <c r="E20" s="166"/>
      <c r="F20" s="167"/>
      <c r="G20" s="62" t="s">
        <v>30</v>
      </c>
      <c r="H20" s="63"/>
      <c r="I20" s="64"/>
      <c r="J20" s="62" t="s">
        <v>20</v>
      </c>
      <c r="K20" s="63"/>
      <c r="L20" s="64"/>
      <c r="M20" s="172" t="s">
        <v>20</v>
      </c>
      <c r="N20" s="173"/>
      <c r="O20" s="174"/>
      <c r="P20" s="62" t="s">
        <v>20</v>
      </c>
      <c r="Q20" s="63"/>
      <c r="R20" s="64"/>
      <c r="S20" s="62" t="s">
        <v>20</v>
      </c>
      <c r="T20" s="63"/>
      <c r="U20" s="64"/>
    </row>
    <row r="21" spans="2:21" ht="22.5" customHeight="1" thickBot="1" x14ac:dyDescent="0.3">
      <c r="B21" s="158"/>
      <c r="C21" s="168"/>
      <c r="D21" s="168"/>
      <c r="E21" s="168"/>
      <c r="F21" s="169"/>
      <c r="G21" s="65"/>
      <c r="H21" s="66"/>
      <c r="I21" s="67"/>
      <c r="J21" s="65"/>
      <c r="K21" s="66"/>
      <c r="L21" s="67"/>
      <c r="M21" s="175"/>
      <c r="N21" s="176"/>
      <c r="O21" s="177"/>
      <c r="P21" s="65"/>
      <c r="Q21" s="66"/>
      <c r="R21" s="67"/>
      <c r="S21" s="65"/>
      <c r="T21" s="66"/>
      <c r="U21" s="67"/>
    </row>
    <row r="22" spans="2:21" ht="15.95" customHeight="1" x14ac:dyDescent="0.25">
      <c r="B22" s="156" t="s">
        <v>11</v>
      </c>
      <c r="C22" s="157"/>
      <c r="D22" s="150" t="s">
        <v>9</v>
      </c>
      <c r="E22" s="151"/>
      <c r="F22" s="152"/>
      <c r="G22" s="68" t="s">
        <v>16</v>
      </c>
      <c r="H22" s="70" t="s">
        <v>14</v>
      </c>
      <c r="I22" s="71"/>
      <c r="J22" s="68" t="s">
        <v>16</v>
      </c>
      <c r="K22" s="70" t="s">
        <v>14</v>
      </c>
      <c r="L22" s="71"/>
      <c r="M22" s="178" t="s">
        <v>16</v>
      </c>
      <c r="N22" s="179" t="s">
        <v>14</v>
      </c>
      <c r="O22" s="180"/>
      <c r="P22" s="68" t="s">
        <v>16</v>
      </c>
      <c r="Q22" s="70" t="s">
        <v>14</v>
      </c>
      <c r="R22" s="71"/>
      <c r="S22" s="68" t="s">
        <v>16</v>
      </c>
      <c r="T22" s="70" t="s">
        <v>14</v>
      </c>
      <c r="U22" s="71"/>
    </row>
    <row r="23" spans="2:21" ht="15.95" customHeight="1" thickBot="1" x14ac:dyDescent="0.3">
      <c r="B23" s="158"/>
      <c r="C23" s="159"/>
      <c r="D23" s="153"/>
      <c r="E23" s="154"/>
      <c r="F23" s="155"/>
      <c r="G23" s="69"/>
      <c r="H23" s="72"/>
      <c r="I23" s="73"/>
      <c r="J23" s="69"/>
      <c r="K23" s="72"/>
      <c r="L23" s="73"/>
      <c r="M23" s="181"/>
      <c r="N23" s="182"/>
      <c r="O23" s="183"/>
      <c r="P23" s="69"/>
      <c r="Q23" s="72"/>
      <c r="R23" s="73"/>
      <c r="S23" s="69"/>
      <c r="T23" s="72"/>
      <c r="U23" s="73"/>
    </row>
    <row r="24" spans="2:21" ht="15.95" customHeight="1" x14ac:dyDescent="0.25">
      <c r="B24" s="87">
        <v>1</v>
      </c>
      <c r="C24" s="88"/>
      <c r="D24" s="98" t="s">
        <v>25</v>
      </c>
      <c r="E24" s="99"/>
      <c r="F24" s="100"/>
      <c r="G24" s="68" t="s">
        <v>18</v>
      </c>
      <c r="H24" s="111" t="s">
        <v>10</v>
      </c>
      <c r="I24" s="112"/>
      <c r="J24" s="68" t="s">
        <v>18</v>
      </c>
      <c r="K24" s="111" t="s">
        <v>10</v>
      </c>
      <c r="L24" s="112"/>
      <c r="M24" s="178" t="s">
        <v>18</v>
      </c>
      <c r="N24" s="184" t="s">
        <v>10</v>
      </c>
      <c r="O24" s="185"/>
      <c r="P24" s="68" t="s">
        <v>18</v>
      </c>
      <c r="Q24" s="111" t="s">
        <v>10</v>
      </c>
      <c r="R24" s="112"/>
      <c r="S24" s="68" t="s">
        <v>18</v>
      </c>
      <c r="T24" s="111" t="s">
        <v>10</v>
      </c>
      <c r="U24" s="112"/>
    </row>
    <row r="25" spans="2:21" ht="15.95" customHeight="1" thickBot="1" x14ac:dyDescent="0.3">
      <c r="B25" s="89"/>
      <c r="C25" s="90"/>
      <c r="D25" s="95" t="s">
        <v>26</v>
      </c>
      <c r="E25" s="96"/>
      <c r="F25" s="97"/>
      <c r="G25" s="69"/>
      <c r="H25" s="113"/>
      <c r="I25" s="114"/>
      <c r="J25" s="69"/>
      <c r="K25" s="113"/>
      <c r="L25" s="114"/>
      <c r="M25" s="181"/>
      <c r="N25" s="186"/>
      <c r="O25" s="187"/>
      <c r="P25" s="69"/>
      <c r="Q25" s="113"/>
      <c r="R25" s="114"/>
      <c r="S25" s="69"/>
      <c r="T25" s="113"/>
      <c r="U25" s="114"/>
    </row>
    <row r="26" spans="2:21" ht="15.95" customHeight="1" x14ac:dyDescent="0.25">
      <c r="B26" s="91" t="s">
        <v>24</v>
      </c>
      <c r="C26" s="92"/>
      <c r="D26" s="98" t="s">
        <v>17</v>
      </c>
      <c r="E26" s="99"/>
      <c r="F26" s="100"/>
      <c r="G26" s="68" t="s">
        <v>23</v>
      </c>
      <c r="H26" s="22" t="s">
        <v>23</v>
      </c>
      <c r="I26" s="23"/>
      <c r="J26" s="68" t="s">
        <v>21</v>
      </c>
      <c r="K26" s="22" t="s">
        <v>23</v>
      </c>
      <c r="L26" s="23"/>
      <c r="M26" s="178" t="s">
        <v>21</v>
      </c>
      <c r="N26" s="188" t="s">
        <v>23</v>
      </c>
      <c r="O26" s="189"/>
      <c r="P26" s="68" t="s">
        <v>21</v>
      </c>
      <c r="Q26" s="22" t="s">
        <v>23</v>
      </c>
      <c r="R26" s="23"/>
      <c r="S26" s="68" t="s">
        <v>21</v>
      </c>
      <c r="T26" s="22" t="s">
        <v>23</v>
      </c>
      <c r="U26" s="23"/>
    </row>
    <row r="27" spans="2:21" ht="15.95" customHeight="1" thickBot="1" x14ac:dyDescent="0.3">
      <c r="B27" s="93"/>
      <c r="C27" s="94"/>
      <c r="D27" s="95" t="s">
        <v>12</v>
      </c>
      <c r="E27" s="96"/>
      <c r="F27" s="97"/>
      <c r="G27" s="69"/>
      <c r="H27" s="24"/>
      <c r="I27" s="25"/>
      <c r="J27" s="69"/>
      <c r="K27" s="24"/>
      <c r="L27" s="25"/>
      <c r="M27" s="181"/>
      <c r="N27" s="190"/>
      <c r="O27" s="191"/>
      <c r="P27" s="69"/>
      <c r="Q27" s="24"/>
      <c r="R27" s="25"/>
      <c r="S27" s="69"/>
      <c r="T27" s="24"/>
      <c r="U27" s="25"/>
    </row>
    <row r="28" spans="2:21" ht="15.95" customHeight="1" x14ac:dyDescent="0.25">
      <c r="B28" s="87"/>
      <c r="C28" s="88"/>
      <c r="D28" s="98"/>
      <c r="E28" s="99"/>
      <c r="F28" s="100"/>
      <c r="G28" s="26"/>
      <c r="H28" s="28"/>
      <c r="I28" s="29"/>
      <c r="J28" s="26"/>
      <c r="K28" s="28"/>
      <c r="L28" s="29"/>
      <c r="M28" s="192"/>
      <c r="N28" s="193"/>
      <c r="O28" s="194"/>
      <c r="P28" s="26"/>
      <c r="Q28" s="28"/>
      <c r="R28" s="29"/>
      <c r="S28" s="26"/>
      <c r="T28" s="28"/>
      <c r="U28" s="29"/>
    </row>
    <row r="29" spans="2:21" ht="15.95" customHeight="1" thickBot="1" x14ac:dyDescent="0.3">
      <c r="B29" s="89"/>
      <c r="C29" s="90"/>
      <c r="D29" s="95"/>
      <c r="E29" s="96"/>
      <c r="F29" s="97"/>
      <c r="G29" s="27"/>
      <c r="H29" s="30"/>
      <c r="I29" s="31"/>
      <c r="J29" s="27"/>
      <c r="K29" s="30"/>
      <c r="L29" s="31"/>
      <c r="M29" s="195"/>
      <c r="N29" s="196"/>
      <c r="O29" s="197"/>
      <c r="P29" s="27"/>
      <c r="Q29" s="30"/>
      <c r="R29" s="31"/>
      <c r="S29" s="27"/>
      <c r="T29" s="30"/>
      <c r="U29" s="31"/>
    </row>
    <row r="30" spans="2:21" ht="15.95" customHeight="1" x14ac:dyDescent="0.25">
      <c r="B30" s="77"/>
      <c r="C30" s="78"/>
      <c r="D30" s="81"/>
      <c r="E30" s="82"/>
      <c r="F30" s="83"/>
      <c r="G30" s="32"/>
      <c r="H30" s="34"/>
      <c r="I30" s="35"/>
      <c r="J30" s="32"/>
      <c r="K30" s="34"/>
      <c r="L30" s="35"/>
      <c r="M30" s="198"/>
      <c r="N30" s="199"/>
      <c r="O30" s="200"/>
      <c r="P30" s="32"/>
      <c r="Q30" s="34"/>
      <c r="R30" s="35"/>
      <c r="S30" s="32"/>
      <c r="T30" s="34"/>
      <c r="U30" s="35"/>
    </row>
    <row r="31" spans="2:21" ht="15.75" customHeight="1" thickBot="1" x14ac:dyDescent="0.3">
      <c r="B31" s="79"/>
      <c r="C31" s="80"/>
      <c r="D31" s="84"/>
      <c r="E31" s="85"/>
      <c r="F31" s="86"/>
      <c r="G31" s="33"/>
      <c r="H31" s="36"/>
      <c r="I31" s="37"/>
      <c r="J31" s="33"/>
      <c r="K31" s="36"/>
      <c r="L31" s="37"/>
      <c r="M31" s="201"/>
      <c r="N31" s="202"/>
      <c r="O31" s="203"/>
      <c r="P31" s="33"/>
      <c r="Q31" s="36"/>
      <c r="R31" s="37"/>
      <c r="S31" s="33"/>
      <c r="T31" s="36"/>
      <c r="U31" s="37"/>
    </row>
    <row r="32" spans="2:21" ht="15.95" customHeight="1" x14ac:dyDescent="0.25">
      <c r="B32" s="77"/>
      <c r="C32" s="78"/>
      <c r="D32" s="81"/>
      <c r="E32" s="82"/>
      <c r="F32" s="83"/>
      <c r="G32" s="32"/>
      <c r="H32" s="34"/>
      <c r="I32" s="35"/>
      <c r="J32" s="32"/>
      <c r="K32" s="34"/>
      <c r="L32" s="35"/>
      <c r="M32" s="198"/>
      <c r="N32" s="199"/>
      <c r="O32" s="200"/>
      <c r="P32" s="32"/>
      <c r="Q32" s="34"/>
      <c r="R32" s="35"/>
      <c r="S32" s="32"/>
      <c r="T32" s="34"/>
      <c r="U32" s="35"/>
    </row>
    <row r="33" spans="2:21" ht="15.75" customHeight="1" thickBot="1" x14ac:dyDescent="0.3">
      <c r="B33" s="79"/>
      <c r="C33" s="80"/>
      <c r="D33" s="84"/>
      <c r="E33" s="85"/>
      <c r="F33" s="86"/>
      <c r="G33" s="33"/>
      <c r="H33" s="36"/>
      <c r="I33" s="37"/>
      <c r="J33" s="33"/>
      <c r="K33" s="36"/>
      <c r="L33" s="37"/>
      <c r="M33" s="201"/>
      <c r="N33" s="202"/>
      <c r="O33" s="203"/>
      <c r="P33" s="33"/>
      <c r="Q33" s="36"/>
      <c r="R33" s="37"/>
      <c r="S33" s="33"/>
      <c r="T33" s="36"/>
      <c r="U33" s="37"/>
    </row>
    <row r="34" spans="2:21" ht="5.25" customHeight="1" x14ac:dyDescent="0.25"/>
    <row r="35" spans="2:21" ht="15.75" customHeight="1" x14ac:dyDescent="0.25"/>
    <row r="36" spans="2:21" ht="15.75" customHeight="1" x14ac:dyDescent="0.25"/>
    <row r="37" spans="2:21" ht="15.75" customHeight="1" x14ac:dyDescent="0.25"/>
    <row r="38" spans="2:21" ht="15.75" customHeight="1" x14ac:dyDescent="0.25"/>
    <row r="39" spans="2:21" ht="15.75" customHeight="1" x14ac:dyDescent="0.25"/>
    <row r="40" spans="2:21" ht="15.75" customHeight="1" x14ac:dyDescent="0.25"/>
    <row r="41" spans="2:21" ht="15.75" customHeight="1" x14ac:dyDescent="0.25"/>
    <row r="42" spans="2:21" ht="15.75" customHeight="1" x14ac:dyDescent="0.25"/>
    <row r="43" spans="2:21" ht="15.75" customHeight="1" x14ac:dyDescent="0.25"/>
    <row r="44" spans="2:21" ht="15.75" customHeight="1" x14ac:dyDescent="0.25"/>
    <row r="45" spans="2:21" ht="15.75" customHeight="1" x14ac:dyDescent="0.25"/>
    <row r="46" spans="2:21" ht="15.75" customHeight="1" x14ac:dyDescent="0.25"/>
    <row r="47" spans="2:21" ht="15.75" customHeight="1" x14ac:dyDescent="0.25"/>
    <row r="48" spans="2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26">
    <mergeCell ref="P24:P25"/>
    <mergeCell ref="Q24:R25"/>
    <mergeCell ref="P26:P27"/>
    <mergeCell ref="Q26:R27"/>
    <mergeCell ref="P28:P29"/>
    <mergeCell ref="Q28:R29"/>
    <mergeCell ref="B2:D3"/>
    <mergeCell ref="L16:L17"/>
    <mergeCell ref="U16:U17"/>
    <mergeCell ref="E4:U7"/>
    <mergeCell ref="S24:S25"/>
    <mergeCell ref="T24:U25"/>
    <mergeCell ref="D22:F23"/>
    <mergeCell ref="B22:C23"/>
    <mergeCell ref="J22:J23"/>
    <mergeCell ref="K22:L23"/>
    <mergeCell ref="B18:U19"/>
    <mergeCell ref="G16:H17"/>
    <mergeCell ref="J16:K17"/>
    <mergeCell ref="E16:F17"/>
    <mergeCell ref="B20:F21"/>
    <mergeCell ref="J20:L21"/>
    <mergeCell ref="I16:I17"/>
    <mergeCell ref="S22:S23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J24:J25"/>
    <mergeCell ref="K24:L25"/>
    <mergeCell ref="B24:C25"/>
    <mergeCell ref="D24:F24"/>
    <mergeCell ref="G22:G23"/>
    <mergeCell ref="H22:I23"/>
    <mergeCell ref="P16:Q17"/>
    <mergeCell ref="R16:R17"/>
    <mergeCell ref="P20:R21"/>
    <mergeCell ref="P22:P23"/>
    <mergeCell ref="Q22:R23"/>
    <mergeCell ref="E2:U3"/>
    <mergeCell ref="J14:K15"/>
    <mergeCell ref="E8:F9"/>
    <mergeCell ref="E10:F11"/>
    <mergeCell ref="E12:F13"/>
    <mergeCell ref="E14:F15"/>
    <mergeCell ref="S8:U9"/>
    <mergeCell ref="G8:I9"/>
    <mergeCell ref="L14:L15"/>
    <mergeCell ref="I14:I15"/>
    <mergeCell ref="U14:U15"/>
    <mergeCell ref="J8:L9"/>
    <mergeCell ref="P8:R9"/>
    <mergeCell ref="G10:Q11"/>
    <mergeCell ref="S10:U11"/>
    <mergeCell ref="G12:I13"/>
    <mergeCell ref="J12:L13"/>
    <mergeCell ref="G14:H15"/>
    <mergeCell ref="S14:T15"/>
    <mergeCell ref="S12:U13"/>
    <mergeCell ref="P12:R13"/>
    <mergeCell ref="P14:Q15"/>
    <mergeCell ref="R14:R15"/>
    <mergeCell ref="S32:S33"/>
    <mergeCell ref="T32:U33"/>
    <mergeCell ref="K26:L27"/>
    <mergeCell ref="S26:S27"/>
    <mergeCell ref="T26:U27"/>
    <mergeCell ref="K28:L29"/>
    <mergeCell ref="S28:S29"/>
    <mergeCell ref="T28:U29"/>
    <mergeCell ref="K30:L31"/>
    <mergeCell ref="S30:S31"/>
    <mergeCell ref="T30:U31"/>
    <mergeCell ref="P30:P31"/>
    <mergeCell ref="Q30:R31"/>
    <mergeCell ref="P32:P33"/>
    <mergeCell ref="Q32:R33"/>
    <mergeCell ref="M24:M25"/>
    <mergeCell ref="N24:O25"/>
    <mergeCell ref="M26:M27"/>
    <mergeCell ref="X14:X15"/>
    <mergeCell ref="Y14:Y15"/>
    <mergeCell ref="Z14:Z15"/>
    <mergeCell ref="AA14:AA15"/>
    <mergeCell ref="B30:C31"/>
    <mergeCell ref="D30:F31"/>
    <mergeCell ref="G30:G31"/>
    <mergeCell ref="H30:I31"/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S16:T17"/>
    <mergeCell ref="T22:U23"/>
    <mergeCell ref="G20:I21"/>
    <mergeCell ref="S20:U21"/>
    <mergeCell ref="N26:O27"/>
    <mergeCell ref="M28:M29"/>
    <mergeCell ref="N28:O29"/>
    <mergeCell ref="M30:M31"/>
    <mergeCell ref="N30:O31"/>
    <mergeCell ref="M32:M33"/>
    <mergeCell ref="N32:O33"/>
    <mergeCell ref="M8:O9"/>
    <mergeCell ref="M12:O13"/>
    <mergeCell ref="M14:N15"/>
    <mergeCell ref="O14:O15"/>
    <mergeCell ref="M16:N17"/>
    <mergeCell ref="O16:O17"/>
    <mergeCell ref="M20:O21"/>
    <mergeCell ref="M22:M23"/>
    <mergeCell ref="N22:O23"/>
  </mergeCells>
  <phoneticPr fontId="7" type="noConversion"/>
  <printOptions verticalCentered="1"/>
  <pageMargins left="0.27559055118110237" right="0.15748031496062992" top="0.26" bottom="0.28999999999999998" header="0.19685039370078741" footer="0"/>
  <pageSetup paperSize="5" scale="1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J7" sqref="J7"/>
    </sheetView>
  </sheetViews>
  <sheetFormatPr baseColWidth="10" defaultRowHeight="15" x14ac:dyDescent="0.25"/>
  <cols>
    <col min="4" max="4" width="6" bestFit="1" customWidth="1"/>
  </cols>
  <sheetData>
    <row r="1" spans="1:14" ht="15" customHeight="1" x14ac:dyDescent="0.25">
      <c r="A1" s="171" t="s">
        <v>36</v>
      </c>
      <c r="B1" s="171"/>
      <c r="C1" s="171"/>
      <c r="D1" s="171"/>
      <c r="E1" s="171"/>
      <c r="F1" s="171"/>
      <c r="G1" s="171"/>
      <c r="H1" s="16"/>
      <c r="I1" s="16"/>
      <c r="J1" s="16"/>
      <c r="K1" s="16"/>
      <c r="L1" s="16"/>
      <c r="M1" s="16"/>
      <c r="N1" s="16"/>
    </row>
    <row r="2" spans="1:14" ht="15" customHeight="1" x14ac:dyDescent="0.25">
      <c r="A2" s="171"/>
      <c r="B2" s="171"/>
      <c r="C2" s="171"/>
      <c r="D2" s="171"/>
      <c r="E2" s="171"/>
      <c r="F2" s="171"/>
      <c r="G2" s="171"/>
      <c r="H2" s="16"/>
      <c r="I2" s="16"/>
      <c r="J2" s="16"/>
      <c r="K2" s="16"/>
      <c r="L2" s="16"/>
      <c r="M2" s="16"/>
      <c r="N2" s="16"/>
    </row>
    <row r="3" spans="1:14" x14ac:dyDescent="0.25">
      <c r="D3" s="170">
        <f>SUM(D5:D21)</f>
        <v>7.8999999999999995</v>
      </c>
    </row>
    <row r="4" spans="1:14" x14ac:dyDescent="0.25">
      <c r="D4" s="170"/>
    </row>
    <row r="5" spans="1:14" ht="18.75" x14ac:dyDescent="0.3">
      <c r="C5" s="11" t="s">
        <v>38</v>
      </c>
      <c r="D5" s="13">
        <v>0.5</v>
      </c>
    </row>
    <row r="6" spans="1:14" ht="18.75" x14ac:dyDescent="0.3">
      <c r="C6" s="11" t="s">
        <v>39</v>
      </c>
      <c r="D6" s="13">
        <v>0.5</v>
      </c>
    </row>
    <row r="7" spans="1:14" ht="18.75" x14ac:dyDescent="0.3">
      <c r="C7" s="11" t="s">
        <v>40</v>
      </c>
      <c r="D7" s="13">
        <v>0.3</v>
      </c>
    </row>
    <row r="8" spans="1:14" ht="18.75" x14ac:dyDescent="0.3">
      <c r="C8" s="11" t="s">
        <v>48</v>
      </c>
      <c r="D8" s="13">
        <v>0.5</v>
      </c>
    </row>
    <row r="9" spans="1:14" ht="18.75" x14ac:dyDescent="0.3">
      <c r="C9" s="11"/>
      <c r="D9" s="13"/>
    </row>
    <row r="10" spans="1:14" ht="18.75" x14ac:dyDescent="0.3">
      <c r="C10" s="11" t="s">
        <v>41</v>
      </c>
      <c r="D10" s="13">
        <v>1</v>
      </c>
    </row>
    <row r="11" spans="1:14" ht="18.75" x14ac:dyDescent="0.3">
      <c r="C11" s="11" t="s">
        <v>42</v>
      </c>
      <c r="D11" s="13">
        <v>0.3</v>
      </c>
    </row>
    <row r="12" spans="1:14" ht="18.75" x14ac:dyDescent="0.3">
      <c r="C12" s="11" t="s">
        <v>43</v>
      </c>
      <c r="D12" s="13">
        <v>1</v>
      </c>
    </row>
    <row r="13" spans="1:14" ht="18.75" x14ac:dyDescent="0.3">
      <c r="C13" s="11"/>
      <c r="D13" s="13"/>
    </row>
    <row r="14" spans="1:14" ht="18.75" x14ac:dyDescent="0.3">
      <c r="C14" s="11" t="s">
        <v>44</v>
      </c>
      <c r="D14" s="13">
        <v>1.5</v>
      </c>
    </row>
    <row r="15" spans="1:14" ht="18.75" x14ac:dyDescent="0.3">
      <c r="C15" s="11" t="s">
        <v>45</v>
      </c>
      <c r="D15" s="13">
        <v>0.3</v>
      </c>
    </row>
    <row r="16" spans="1:14" ht="18.75" x14ac:dyDescent="0.3">
      <c r="C16" s="11"/>
      <c r="D16" s="13"/>
    </row>
    <row r="17" spans="3:4" ht="18.75" x14ac:dyDescent="0.3">
      <c r="C17" s="11" t="s">
        <v>46</v>
      </c>
      <c r="D17" s="13">
        <v>1</v>
      </c>
    </row>
    <row r="18" spans="3:4" ht="18.75" x14ac:dyDescent="0.3">
      <c r="C18" s="11"/>
      <c r="D18" s="14"/>
    </row>
    <row r="19" spans="3:4" ht="18.75" x14ac:dyDescent="0.3">
      <c r="C19" s="11" t="s">
        <v>47</v>
      </c>
      <c r="D19" s="15">
        <v>1</v>
      </c>
    </row>
    <row r="20" spans="3:4" ht="18.75" x14ac:dyDescent="0.3">
      <c r="C20" s="11"/>
    </row>
    <row r="21" spans="3:4" ht="18.75" x14ac:dyDescent="0.3">
      <c r="C21" s="11"/>
    </row>
  </sheetData>
  <mergeCells count="2">
    <mergeCell ref="D3:D4"/>
    <mergeCell ref="A1:G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3"/>
  <sheetViews>
    <sheetView workbookViewId="0">
      <selection activeCell="I13" sqref="I13"/>
    </sheetView>
  </sheetViews>
  <sheetFormatPr baseColWidth="10" defaultRowHeight="15" x14ac:dyDescent="0.25"/>
  <sheetData>
    <row r="1" spans="2:5" ht="18.75" x14ac:dyDescent="0.25">
      <c r="D1" s="12">
        <f>'FICHA TECNICA'!J14</f>
        <v>0</v>
      </c>
    </row>
    <row r="4" spans="2:5" x14ac:dyDescent="0.25">
      <c r="B4" s="17"/>
      <c r="C4" s="17"/>
      <c r="D4" s="17"/>
      <c r="E4" s="17"/>
    </row>
    <row r="5" spans="2:5" x14ac:dyDescent="0.25">
      <c r="B5" s="17"/>
      <c r="C5" s="17"/>
      <c r="D5" s="17"/>
      <c r="E5" s="17"/>
    </row>
    <row r="6" spans="2:5" ht="18.75" x14ac:dyDescent="0.25">
      <c r="B6" s="17"/>
      <c r="C6" s="17"/>
      <c r="D6" s="19">
        <v>8.6900000000000005E-2</v>
      </c>
      <c r="E6" s="17"/>
    </row>
    <row r="7" spans="2:5" ht="18.75" x14ac:dyDescent="0.25">
      <c r="B7" s="17"/>
      <c r="C7" s="17"/>
      <c r="D7" s="20">
        <v>5.8999999999999999E-3</v>
      </c>
      <c r="E7" s="17"/>
    </row>
    <row r="8" spans="2:5" ht="18.75" x14ac:dyDescent="0.25">
      <c r="B8" s="17"/>
      <c r="C8" s="17"/>
      <c r="D8" s="19">
        <f>SUM(D6:D7)</f>
        <v>9.2800000000000007E-2</v>
      </c>
      <c r="E8" s="17"/>
    </row>
    <row r="9" spans="2:5" ht="18.75" x14ac:dyDescent="0.3">
      <c r="B9" s="17"/>
      <c r="C9" s="21" t="s">
        <v>49</v>
      </c>
      <c r="D9" s="20"/>
      <c r="E9" s="17"/>
    </row>
    <row r="10" spans="2:5" ht="18.75" x14ac:dyDescent="0.3">
      <c r="B10" s="17"/>
      <c r="C10" s="21"/>
      <c r="D10" s="19">
        <f>D9*D8</f>
        <v>0</v>
      </c>
      <c r="E10" s="17"/>
    </row>
    <row r="11" spans="2:5" ht="18.75" x14ac:dyDescent="0.3">
      <c r="B11" s="17"/>
      <c r="C11" s="21" t="s">
        <v>51</v>
      </c>
      <c r="D11" s="19">
        <v>7.9</v>
      </c>
      <c r="E11" s="17"/>
    </row>
    <row r="12" spans="2:5" ht="18.75" x14ac:dyDescent="0.3">
      <c r="B12" s="17"/>
      <c r="C12" s="21" t="s">
        <v>50</v>
      </c>
      <c r="D12" s="19">
        <f>D8*35</f>
        <v>3.2480000000000002</v>
      </c>
      <c r="E12" s="17"/>
    </row>
    <row r="13" spans="2:5" ht="18.75" x14ac:dyDescent="0.3">
      <c r="B13" s="17"/>
      <c r="C13" s="21" t="s">
        <v>52</v>
      </c>
      <c r="D13" s="20">
        <v>10</v>
      </c>
      <c r="E13" s="17"/>
    </row>
    <row r="14" spans="2:5" ht="18.75" x14ac:dyDescent="0.3">
      <c r="B14" s="17"/>
      <c r="C14" s="21"/>
      <c r="D14" s="19">
        <f>SUM(D10:D13)</f>
        <v>21.148</v>
      </c>
      <c r="E14" s="17"/>
    </row>
    <row r="15" spans="2:5" ht="18.75" x14ac:dyDescent="0.3">
      <c r="B15" s="17"/>
      <c r="C15" s="21" t="s">
        <v>53</v>
      </c>
      <c r="D15" s="19"/>
      <c r="E15" s="17"/>
    </row>
    <row r="16" spans="2:5" ht="18.75" x14ac:dyDescent="0.3">
      <c r="B16" s="17"/>
      <c r="C16" s="21" t="s">
        <v>54</v>
      </c>
      <c r="D16" s="20"/>
      <c r="E16" s="17"/>
    </row>
    <row r="17" spans="2:5" ht="18" x14ac:dyDescent="0.25">
      <c r="B17" s="17"/>
      <c r="C17" s="17"/>
      <c r="D17" s="18">
        <f>SUM(D14:D16)</f>
        <v>21.148</v>
      </c>
      <c r="E17" s="17"/>
    </row>
    <row r="18" spans="2:5" x14ac:dyDescent="0.25">
      <c r="B18" s="17"/>
      <c r="C18" s="17"/>
      <c r="D18" s="17"/>
      <c r="E18" s="17"/>
    </row>
    <row r="19" spans="2:5" x14ac:dyDescent="0.25">
      <c r="B19" s="17"/>
      <c r="C19" s="17"/>
      <c r="D19" s="17"/>
      <c r="E19" s="17"/>
    </row>
    <row r="20" spans="2:5" x14ac:dyDescent="0.25">
      <c r="B20" s="17"/>
      <c r="C20" s="17"/>
      <c r="D20" s="17"/>
      <c r="E20" s="17"/>
    </row>
    <row r="21" spans="2:5" x14ac:dyDescent="0.25">
      <c r="B21" s="17"/>
      <c r="C21" s="17"/>
      <c r="D21" s="17"/>
      <c r="E21" s="17"/>
    </row>
    <row r="22" spans="2:5" x14ac:dyDescent="0.25">
      <c r="B22" s="17"/>
      <c r="C22" s="17"/>
      <c r="D22" s="17"/>
      <c r="E22" s="17"/>
    </row>
    <row r="23" spans="2:5" x14ac:dyDescent="0.25">
      <c r="B23" s="17"/>
      <c r="C23" s="17"/>
      <c r="D23" s="17"/>
      <c r="E23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confeccion</vt:lpstr>
      <vt:lpstr>Hoja2</vt:lpstr>
      <vt:lpstr>Hoja3</vt:lpstr>
      <vt:lpstr>Hoja4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2025-10-24T19:42:39Z</cp:lastPrinted>
  <dcterms:created xsi:type="dcterms:W3CDTF">2023-10-31T20:19:37Z</dcterms:created>
  <dcterms:modified xsi:type="dcterms:W3CDTF">2025-10-24T21:42:34Z</dcterms:modified>
  <dc:language>es-MX</dc:language>
</cp:coreProperties>
</file>