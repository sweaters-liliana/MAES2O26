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DESAROLLOS 25\Q032 BODY TANGA SIZADO\"/>
    </mc:Choice>
  </mc:AlternateContent>
  <xr:revisionPtr revIDLastSave="0" documentId="13_ncr:1_{4BD37868-30F1-431D-B440-D35B4A318F6A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FICHA TECNICA" sheetId="1" r:id="rId1"/>
    <sheet name="Hilatura" sheetId="3" r:id="rId2"/>
    <sheet name="tiempos" sheetId="4" r:id="rId3"/>
    <sheet name="PRODUCCION" sheetId="5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4" i="1" l="1"/>
  <c r="J14" i="1"/>
  <c r="H7" i="4"/>
  <c r="G9" i="4"/>
  <c r="G11" i="4" s="1"/>
  <c r="F9" i="4"/>
  <c r="F11" i="4" s="1"/>
  <c r="D9" i="4"/>
  <c r="D11" i="4" s="1"/>
  <c r="E9" i="4"/>
  <c r="E11" i="4" s="1"/>
  <c r="G11" i="3"/>
  <c r="G12" i="3" s="1"/>
  <c r="F11" i="3"/>
  <c r="F12" i="3" s="1"/>
  <c r="E11" i="3"/>
  <c r="E12" i="3" s="1"/>
  <c r="D11" i="3"/>
  <c r="D12" i="3" s="1"/>
  <c r="G8" i="3"/>
  <c r="G9" i="3" s="1"/>
  <c r="F8" i="3"/>
  <c r="F9" i="3" s="1"/>
  <c r="E8" i="3"/>
  <c r="E9" i="3" s="1"/>
  <c r="D8" i="3"/>
  <c r="D9" i="3" s="1"/>
  <c r="H9" i="3" l="1"/>
  <c r="H12" i="3"/>
</calcChain>
</file>

<file path=xl/sharedStrings.xml><?xml version="1.0" encoding="utf-8"?>
<sst xmlns="http://schemas.openxmlformats.org/spreadsheetml/2006/main" count="100" uniqueCount="69">
  <si>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</si>
  <si>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</si>
  <si>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</si>
  <si>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</si>
  <si>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</si>
  <si>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</si>
  <si>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</si>
  <si>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</si>
  <si>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</si>
  <si>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</si>
  <si>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</si>
  <si>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</si>
  <si>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</si>
  <si>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</si>
  <si>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TIPO DE MAQUINA</t>
  </si>
  <si>
    <t>TOP2V</t>
  </si>
  <si>
    <t>REMATE</t>
  </si>
  <si>
    <t>GUATEMALA</t>
  </si>
  <si>
    <t>NYLON</t>
  </si>
  <si>
    <t>#2</t>
  </si>
  <si>
    <t>#6</t>
  </si>
  <si>
    <t>LICRA YUKI</t>
  </si>
  <si>
    <t>20/70/68</t>
  </si>
  <si>
    <t>PESO +10%:</t>
  </si>
  <si>
    <t>#3</t>
  </si>
  <si>
    <r>
      <t>_2</t>
    </r>
    <r>
      <rPr>
        <sz val="11"/>
        <rFont val="Consolas"/>
        <family val="3"/>
      </rPr>
      <t>_</t>
    </r>
    <r>
      <rPr>
        <sz val="14"/>
        <rFont val="Consolas"/>
        <family val="3"/>
      </rPr>
      <t>4</t>
    </r>
    <r>
      <rPr>
        <sz val="11"/>
        <rFont val="Consolas"/>
        <family val="3"/>
      </rPr>
      <t>_</t>
    </r>
    <r>
      <rPr>
        <sz val="14"/>
        <rFont val="Consolas"/>
        <family val="3"/>
      </rPr>
      <t>8_</t>
    </r>
  </si>
  <si>
    <r>
      <t>1</t>
    </r>
    <r>
      <rPr>
        <sz val="11"/>
        <rFont val="Consolas"/>
        <family val="3"/>
      </rPr>
      <t>_</t>
    </r>
    <r>
      <rPr>
        <sz val="14"/>
        <rFont val="Consolas"/>
        <family val="3"/>
      </rPr>
      <t>3</t>
    </r>
    <r>
      <rPr>
        <sz val="11"/>
        <rFont val="Consolas"/>
        <family val="3"/>
      </rPr>
      <t>_</t>
    </r>
    <r>
      <rPr>
        <sz val="14"/>
        <rFont val="Consolas"/>
        <family val="3"/>
      </rPr>
      <t>5</t>
    </r>
    <r>
      <rPr>
        <sz val="11"/>
        <rFont val="Consolas"/>
        <family val="3"/>
      </rPr>
      <t>_</t>
    </r>
    <r>
      <rPr>
        <sz val="14"/>
        <rFont val="Consolas"/>
        <family val="3"/>
      </rPr>
      <t>6</t>
    </r>
    <r>
      <rPr>
        <sz val="11"/>
        <rFont val="Consolas"/>
        <family val="3"/>
      </rPr>
      <t>_</t>
    </r>
    <r>
      <rPr>
        <sz val="14"/>
        <rFont val="Consolas"/>
        <family val="3"/>
      </rPr>
      <t>7</t>
    </r>
  </si>
  <si>
    <t>MEDIANA</t>
  </si>
  <si>
    <t>GRANDE</t>
  </si>
  <si>
    <t>CHICA</t>
  </si>
  <si>
    <t>BODY</t>
  </si>
  <si>
    <t>Q032B38M</t>
  </si>
  <si>
    <r>
      <t xml:space="preserve">BODY TANGA SIZADO </t>
    </r>
    <r>
      <rPr>
        <sz val="20"/>
        <color rgb="FF000000"/>
        <rFont val="Consolas"/>
        <family val="3"/>
      </rPr>
      <t>(Q002-Q031)</t>
    </r>
  </si>
  <si>
    <t>peso</t>
  </si>
  <si>
    <t>tiempo</t>
  </si>
  <si>
    <t>EXTRA G</t>
  </si>
  <si>
    <t>PEDIDO</t>
  </si>
  <si>
    <t>Tota Likra</t>
  </si>
  <si>
    <t>LIKRA</t>
  </si>
  <si>
    <t>Total Nylon</t>
  </si>
  <si>
    <t>Pzas x 1Hr</t>
  </si>
  <si>
    <t>9.5 Hrs</t>
  </si>
  <si>
    <t>Semana 5</t>
  </si>
  <si>
    <t>G.HILO</t>
  </si>
  <si>
    <t>SISTEMAS</t>
  </si>
  <si>
    <r>
      <t>Q032B38</t>
    </r>
    <r>
      <rPr>
        <u/>
        <sz val="24"/>
        <color theme="0"/>
        <rFont val="Consolas"/>
        <family val="3"/>
      </rPr>
      <t>M</t>
    </r>
  </si>
  <si>
    <r>
      <t>Q032B39</t>
    </r>
    <r>
      <rPr>
        <u/>
        <sz val="24"/>
        <color theme="0"/>
        <rFont val="Consolas"/>
        <family val="3"/>
      </rPr>
      <t>X</t>
    </r>
  </si>
  <si>
    <t>EXTRA</t>
  </si>
  <si>
    <t>1 ROLLO DE COLLARTEA ALCANZA PARA 8 BODIS</t>
  </si>
  <si>
    <t>PROCESO:</t>
  </si>
  <si>
    <t>Teñido en lienzo</t>
  </si>
  <si>
    <t>Collareta:</t>
  </si>
  <si>
    <t>Licra: Miami</t>
  </si>
  <si>
    <t>Nylon 40</t>
  </si>
  <si>
    <t>Sisa,escote y muslos</t>
  </si>
  <si>
    <t>Overlock:</t>
  </si>
  <si>
    <t>orlea puentes</t>
  </si>
  <si>
    <t>Recta:</t>
  </si>
  <si>
    <t>hombros</t>
  </si>
  <si>
    <t>Area de habilitaciones:</t>
  </si>
  <si>
    <t>Degrafila</t>
  </si>
  <si>
    <t>Flath:</t>
  </si>
  <si>
    <t>Hombros</t>
  </si>
  <si>
    <t>Rematadora:</t>
  </si>
  <si>
    <t>2 remates</t>
  </si>
  <si>
    <t>Pega cinta con broches en puentes</t>
  </si>
  <si>
    <t>Etiqueta</t>
  </si>
  <si>
    <t>TAMPOGRAFIA</t>
  </si>
  <si>
    <t>SE  TIÑE:   AMARILLO 12-0824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</si>
</sst>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3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color rgb="FF000000"/>
      <name val="Consolas"/>
      <family val="3"/>
    </font>
    <font>
      <b/>
      <sz val="14"/>
      <color theme="0"/>
      <name val="Consolas"/>
      <family val="3"/>
    </font>
    <font>
      <sz val="24"/>
      <color theme="0"/>
      <name val="Consolas"/>
      <family val="3"/>
    </font>
    <font>
      <sz val="22"/>
      <color theme="0"/>
      <name val="Consolas"/>
      <family val="3"/>
    </font>
    <font>
      <b/>
      <sz val="20"/>
      <color theme="0"/>
      <name val="Consolas"/>
      <family val="3"/>
    </font>
    <font>
      <b/>
      <sz val="10"/>
      <color theme="0"/>
      <name val="Consolas"/>
      <family val="3"/>
    </font>
    <font>
      <b/>
      <sz val="18"/>
      <color rgb="FFFFFF00"/>
      <name val="Consolas"/>
      <family val="3"/>
    </font>
    <font>
      <sz val="28"/>
      <color rgb="FF000000"/>
      <name val="Consolas"/>
      <family val="3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6"/>
      <color theme="4" tint="0.39997558519241921"/>
      <name val="Arial"/>
      <family val="2"/>
    </font>
    <font>
      <b/>
      <sz val="14"/>
      <color theme="4" tint="0.39997558519241921"/>
      <name val="Calibri"/>
      <family val="2"/>
    </font>
    <font>
      <sz val="16"/>
      <color theme="4" tint="0.39997558519241921"/>
      <name val="Bernard MT Condensed"/>
      <family val="1"/>
    </font>
    <font>
      <sz val="14"/>
      <color theme="0"/>
      <name val="Bernard MT Condensed"/>
      <family val="1"/>
    </font>
    <font>
      <b/>
      <sz val="16"/>
      <color theme="0"/>
      <name val="Consolas"/>
      <family val="3"/>
    </font>
    <font>
      <sz val="20"/>
      <color theme="0"/>
      <name val="Consolas"/>
      <family val="3"/>
    </font>
    <font>
      <sz val="24"/>
      <name val="Consolas"/>
      <family val="3"/>
    </font>
    <font>
      <b/>
      <sz val="26"/>
      <color rgb="FFFFFF00"/>
      <name val="Consolas"/>
      <family val="3"/>
    </font>
    <font>
      <u/>
      <sz val="24"/>
      <color theme="0"/>
      <name val="Consolas"/>
      <family val="3"/>
    </font>
    <font>
      <sz val="16"/>
      <color theme="1"/>
      <name val="Arial Black"/>
      <family val="2"/>
    </font>
    <font>
      <b/>
      <sz val="16"/>
      <color theme="1"/>
      <name val="Arial Black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rgb="FF3F686D"/>
        <bgColor rgb="FFFFFFCC"/>
      </patternFill>
    </fill>
    <fill>
      <patternFill patternType="mediumGray">
        <fgColor theme="0"/>
        <bgColor rgb="FFC0D6DA"/>
      </patternFill>
    </fill>
    <fill>
      <patternFill patternType="mediumGray">
        <fgColor theme="0"/>
        <bgColor theme="8" tint="0.79998168889431442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rgb="FFCCFFFF"/>
      </patternFill>
    </fill>
    <fill>
      <patternFill patternType="solid">
        <fgColor theme="3" tint="0.249977111117893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6" tint="-0.249977111117893"/>
        <bgColor rgb="FFFFFFCC"/>
      </patternFill>
    </fill>
    <fill>
      <patternFill patternType="mediumGray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99">
    <xf numFmtId="0" fontId="0" fillId="0" borderId="0" xfId="0"/>
    <xf numFmtId="0" fontId="1" fillId="0" borderId="0" xfId="0" applyFont="1"/>
    <xf numFmtId="0" fontId="2" fillId="5" borderId="10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5" fontId="14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45" fontId="14" fillId="11" borderId="3" xfId="0" applyNumberFormat="1" applyFont="1" applyFill="1" applyBorder="1" applyAlignment="1">
      <alignment vertical="center" wrapText="1"/>
    </xf>
    <xf numFmtId="165" fontId="12" fillId="11" borderId="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" fontId="25" fillId="14" borderId="0" xfId="0" applyNumberFormat="1" applyFont="1" applyFill="1" applyAlignment="1">
      <alignment horizontal="center" vertical="center"/>
    </xf>
    <xf numFmtId="0" fontId="25" fillId="14" borderId="0" xfId="0" applyFont="1" applyFill="1" applyAlignment="1">
      <alignment horizontal="right"/>
    </xf>
    <xf numFmtId="0" fontId="25" fillId="14" borderId="0" xfId="0" applyFont="1" applyFill="1" applyAlignment="1">
      <alignment horizontal="center"/>
    </xf>
    <xf numFmtId="0" fontId="27" fillId="0" borderId="0" xfId="0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2" fontId="25" fillId="15" borderId="0" xfId="0" applyNumberFormat="1" applyFont="1" applyFill="1" applyAlignment="1">
      <alignment horizontal="center" vertical="center"/>
    </xf>
    <xf numFmtId="0" fontId="26" fillId="15" borderId="0" xfId="0" applyFont="1" applyFill="1" applyAlignment="1">
      <alignment horizontal="center"/>
    </xf>
    <xf numFmtId="0" fontId="28" fillId="13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right" vertical="center"/>
    </xf>
    <xf numFmtId="20" fontId="12" fillId="11" borderId="1" xfId="0" applyNumberFormat="1" applyFont="1" applyFill="1" applyBorder="1" applyAlignment="1">
      <alignment horizontal="center" vertical="center" wrapText="1"/>
    </xf>
    <xf numFmtId="0" fontId="27" fillId="17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18" borderId="12" xfId="0" applyFont="1" applyFill="1" applyBorder="1" applyAlignment="1">
      <alignment horizontal="center" vertical="center" wrapText="1"/>
    </xf>
    <xf numFmtId="0" fontId="31" fillId="18" borderId="7" xfId="0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0" fillId="22" borderId="13" xfId="0" applyFont="1" applyFill="1" applyBorder="1" applyAlignment="1">
      <alignment horizontal="center" vertical="center" wrapText="1"/>
    </xf>
    <xf numFmtId="0" fontId="10" fillId="22" borderId="14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1" fillId="22" borderId="4" xfId="0" applyFont="1" applyFill="1" applyBorder="1" applyAlignment="1">
      <alignment horizontal="center" vertical="center" wrapText="1"/>
    </xf>
    <xf numFmtId="49" fontId="11" fillId="22" borderId="1" xfId="0" applyNumberFormat="1" applyFont="1" applyFill="1" applyBorder="1" applyAlignment="1">
      <alignment horizontal="center" vertical="center" wrapText="1"/>
    </xf>
    <xf numFmtId="49" fontId="11" fillId="22" borderId="2" xfId="0" applyNumberFormat="1" applyFont="1" applyFill="1" applyBorder="1" applyAlignment="1">
      <alignment horizontal="center" vertical="center" wrapText="1"/>
    </xf>
    <xf numFmtId="49" fontId="11" fillId="22" borderId="3" xfId="0" applyNumberFormat="1" applyFont="1" applyFill="1" applyBorder="1" applyAlignment="1">
      <alignment horizontal="center" vertical="center" wrapText="1"/>
    </xf>
    <xf numFmtId="49" fontId="11" fillId="22" borderId="4" xfId="0" applyNumberFormat="1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8" fillId="20" borderId="12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 wrapText="1"/>
    </xf>
    <xf numFmtId="0" fontId="8" fillId="20" borderId="3" xfId="0" applyFont="1" applyFill="1" applyBorder="1" applyAlignment="1">
      <alignment horizontal="center" vertical="center" wrapText="1"/>
    </xf>
    <xf numFmtId="9" fontId="21" fillId="12" borderId="5" xfId="0" applyNumberFormat="1" applyFont="1" applyFill="1" applyBorder="1" applyAlignment="1">
      <alignment horizontal="center" vertical="center" wrapText="1"/>
    </xf>
    <xf numFmtId="9" fontId="21" fillId="12" borderId="8" xfId="0" applyNumberFormat="1" applyFont="1" applyFill="1" applyBorder="1" applyAlignment="1">
      <alignment horizontal="center" vertical="center" wrapText="1"/>
    </xf>
    <xf numFmtId="9" fontId="21" fillId="12" borderId="10" xfId="0" applyNumberFormat="1" applyFont="1" applyFill="1" applyBorder="1" applyAlignment="1">
      <alignment horizontal="center" vertical="center" wrapText="1"/>
    </xf>
    <xf numFmtId="9" fontId="21" fillId="12" borderId="17" xfId="0" applyNumberFormat="1" applyFont="1" applyFill="1" applyBorder="1" applyAlignment="1">
      <alignment horizontal="center" vertical="center" wrapText="1"/>
    </xf>
    <xf numFmtId="9" fontId="21" fillId="12" borderId="6" xfId="0" applyNumberFormat="1" applyFont="1" applyFill="1" applyBorder="1" applyAlignment="1">
      <alignment horizontal="center" vertical="center" wrapText="1"/>
    </xf>
    <xf numFmtId="9" fontId="21" fillId="12" borderId="9" xfId="0" applyNumberFormat="1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center" vertical="center" wrapText="1"/>
    </xf>
    <xf numFmtId="49" fontId="11" fillId="10" borderId="2" xfId="0" applyNumberFormat="1" applyFont="1" applyFill="1" applyBorder="1" applyAlignment="1">
      <alignment horizontal="center" vertical="center" wrapText="1"/>
    </xf>
    <xf numFmtId="49" fontId="11" fillId="10" borderId="3" xfId="0" applyNumberFormat="1" applyFont="1" applyFill="1" applyBorder="1" applyAlignment="1">
      <alignment horizontal="center" vertical="center" wrapText="1"/>
    </xf>
    <xf numFmtId="49" fontId="11" fillId="10" borderId="4" xfId="0" applyNumberFormat="1" applyFont="1" applyFill="1" applyBorder="1" applyAlignment="1">
      <alignment horizontal="center" vertical="center" wrapText="1"/>
    </xf>
    <xf numFmtId="49" fontId="11" fillId="11" borderId="1" xfId="0" applyNumberFormat="1" applyFont="1" applyFill="1" applyBorder="1" applyAlignment="1">
      <alignment horizontal="center" vertical="center" wrapText="1"/>
    </xf>
    <xf numFmtId="49" fontId="11" fillId="11" borderId="2" xfId="0" applyNumberFormat="1" applyFont="1" applyFill="1" applyBorder="1" applyAlignment="1">
      <alignment horizontal="center" vertical="center" wrapText="1"/>
    </xf>
    <xf numFmtId="49" fontId="11" fillId="11" borderId="3" xfId="0" applyNumberFormat="1" applyFont="1" applyFill="1" applyBorder="1" applyAlignment="1">
      <alignment horizontal="center"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33" fillId="8" borderId="4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2" fillId="22" borderId="3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3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45" fontId="14" fillId="11" borderId="1" xfId="0" applyNumberFormat="1" applyFont="1" applyFill="1" applyBorder="1" applyAlignment="1">
      <alignment horizontal="center" vertical="center" wrapText="1"/>
    </xf>
    <xf numFmtId="45" fontId="14" fillId="11" borderId="3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35" fillId="3" borderId="5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45" fontId="12" fillId="10" borderId="5" xfId="0" applyNumberFormat="1" applyFont="1" applyFill="1" applyBorder="1" applyAlignment="1">
      <alignment horizontal="center" vertical="center" wrapText="1"/>
    </xf>
    <xf numFmtId="45" fontId="12" fillId="10" borderId="1" xfId="0" applyNumberFormat="1" applyFont="1" applyFill="1" applyBorder="1" applyAlignment="1">
      <alignment horizontal="center" vertical="center" wrapText="1"/>
    </xf>
    <xf numFmtId="45" fontId="12" fillId="10" borderId="6" xfId="0" applyNumberFormat="1" applyFont="1" applyFill="1" applyBorder="1" applyAlignment="1">
      <alignment horizontal="center" vertical="center" wrapText="1"/>
    </xf>
    <xf numFmtId="45" fontId="12" fillId="10" borderId="3" xfId="0" applyNumberFormat="1" applyFont="1" applyFill="1" applyBorder="1" applyAlignment="1">
      <alignment horizontal="center" vertical="center" wrapText="1"/>
    </xf>
    <xf numFmtId="46" fontId="13" fillId="10" borderId="2" xfId="0" applyNumberFormat="1" applyFont="1" applyFill="1" applyBorder="1" applyAlignment="1">
      <alignment horizontal="center" vertical="center" wrapText="1"/>
    </xf>
    <xf numFmtId="46" fontId="13" fillId="10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2" fillId="21" borderId="10" xfId="0" applyFont="1" applyFill="1" applyBorder="1" applyAlignment="1">
      <alignment horizontal="center" vertical="center" wrapText="1"/>
    </xf>
    <xf numFmtId="0" fontId="32" fillId="21" borderId="0" xfId="0" applyFont="1" applyFill="1" applyAlignment="1">
      <alignment horizontal="center" vertical="center" wrapText="1"/>
    </xf>
    <xf numFmtId="0" fontId="19" fillId="21" borderId="5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0" fontId="19" fillId="21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 wrapText="1"/>
    </xf>
    <xf numFmtId="0" fontId="13" fillId="22" borderId="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right" vertical="center" wrapText="1"/>
    </xf>
    <xf numFmtId="0" fontId="6" fillId="3" borderId="15" xfId="0" applyFont="1" applyFill="1" applyBorder="1" applyAlignment="1">
      <alignment horizontal="right" vertical="center" wrapText="1"/>
    </xf>
    <xf numFmtId="0" fontId="6" fillId="3" borderId="16" xfId="0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right" vertical="center"/>
    </xf>
    <xf numFmtId="46" fontId="13" fillId="11" borderId="2" xfId="0" applyNumberFormat="1" applyFont="1" applyFill="1" applyBorder="1" applyAlignment="1">
      <alignment horizontal="center" vertical="center" wrapText="1"/>
    </xf>
    <xf numFmtId="46" fontId="13" fillId="11" borderId="4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45" fontId="14" fillId="22" borderId="1" xfId="0" applyNumberFormat="1" applyFont="1" applyFill="1" applyBorder="1" applyAlignment="1">
      <alignment horizontal="center" vertical="center" wrapText="1"/>
    </xf>
    <xf numFmtId="45" fontId="14" fillId="22" borderId="3" xfId="0" applyNumberFormat="1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46" fontId="13" fillId="22" borderId="2" xfId="0" applyNumberFormat="1" applyFont="1" applyFill="1" applyBorder="1" applyAlignment="1">
      <alignment horizontal="center" vertical="center" wrapText="1"/>
    </xf>
    <xf numFmtId="46" fontId="13" fillId="22" borderId="4" xfId="0" applyNumberFormat="1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164" fontId="21" fillId="12" borderId="5" xfId="0" applyNumberFormat="1" applyFont="1" applyFill="1" applyBorder="1" applyAlignment="1">
      <alignment horizontal="center" vertical="center" wrapText="1"/>
    </xf>
    <xf numFmtId="164" fontId="21" fillId="12" borderId="8" xfId="0" applyNumberFormat="1" applyFont="1" applyFill="1" applyBorder="1" applyAlignment="1">
      <alignment horizontal="center" vertical="center" wrapText="1"/>
    </xf>
    <xf numFmtId="164" fontId="21" fillId="12" borderId="6" xfId="0" applyNumberFormat="1" applyFont="1" applyFill="1" applyBorder="1" applyAlignment="1">
      <alignment horizontal="center" vertical="center" wrapText="1"/>
    </xf>
    <xf numFmtId="164" fontId="21" fillId="12" borderId="9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23" fillId="16" borderId="0" xfId="0" applyFont="1" applyFill="1" applyAlignment="1">
      <alignment horizontal="right" vertical="center"/>
    </xf>
    <xf numFmtId="0" fontId="37" fillId="0" borderId="0" xfId="0" applyFont="1"/>
    <xf numFmtId="0" fontId="38" fillId="0" borderId="0" xfId="0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D6DA"/>
      <color rgb="FF3F686D"/>
      <color rgb="FFFADBDA"/>
      <color rgb="FFA5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47748</xdr:colOff>
      <xdr:row>3</xdr:row>
      <xdr:rowOff>9525</xdr:rowOff>
    </xdr:from>
    <xdr:to>
      <xdr:col>3</xdr:col>
      <xdr:colOff>704850</xdr:colOff>
      <xdr:row>16</xdr:row>
      <xdr:rowOff>190500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5" r="21043" b="1226"/>
        <a:stretch/>
      </xdr:blipFill>
      <xdr:spPr>
        <a:xfrm>
          <a:off x="114423" y="457200"/>
          <a:ext cx="1457202" cy="297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581025</xdr:colOff>
      <xdr:row>11</xdr:row>
      <xdr:rowOff>233874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5" r="21043" b="1226"/>
        <a:stretch/>
      </xdr:blipFill>
      <xdr:spPr>
        <a:xfrm>
          <a:off x="0" y="0"/>
          <a:ext cx="1343025" cy="27389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581025</xdr:colOff>
      <xdr:row>13</xdr:row>
      <xdr:rowOff>224349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5" r="21043" b="1226"/>
        <a:stretch/>
      </xdr:blipFill>
      <xdr:spPr>
        <a:xfrm>
          <a:off x="0" y="0"/>
          <a:ext cx="1343025" cy="2738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4"/>
  <sheetViews>
    <sheetView showGridLines="0" zoomScaleNormal="100" workbookViewId="0">
      <selection activeCell="P16" sqref="P16:Q17"/>
    </sheetView>
  </sheetViews>
  <sheetFormatPr baseColWidth="10" defaultColWidth="14.42578125" defaultRowHeight="15" x14ac:dyDescent="0.25"/>
  <cols>
    <col min="1" max="1" width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7.28515625" customWidth="1"/>
    <col min="8" max="8" width="10.7109375" customWidth="1"/>
    <col min="9" max="9" width="5.7109375" customWidth="1"/>
    <col min="10" max="10" width="7.28515625" customWidth="1"/>
    <col min="11" max="11" width="10.7109375" customWidth="1"/>
    <col min="12" max="12" width="5.7109375" customWidth="1"/>
    <col min="13" max="13" width="7.28515625" customWidth="1"/>
    <col min="14" max="14" width="10.7109375" customWidth="1"/>
    <col min="15" max="15" width="5.7109375" customWidth="1"/>
    <col min="16" max="16" width="7.28515625" customWidth="1"/>
    <col min="17" max="17" width="10.7109375" customWidth="1"/>
    <col min="18" max="18" width="5.7109375" customWidth="1"/>
  </cols>
  <sheetData>
    <row r="1" spans="1:18" ht="10.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95" customHeight="1" x14ac:dyDescent="0.25">
      <c r="B2" s="150" t="s">
        <v>1</v>
      </c>
      <c r="C2" s="151"/>
      <c r="D2" s="152"/>
      <c r="E2" s="161" t="s">
        <v>2</v>
      </c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3"/>
    </row>
    <row r="3" spans="1:18" ht="27.75" customHeight="1" thickBot="1" x14ac:dyDescent="0.3">
      <c r="B3" s="153"/>
      <c r="C3" s="154"/>
      <c r="D3" s="155"/>
      <c r="E3" s="164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6"/>
    </row>
    <row r="4" spans="1:18" ht="21" customHeight="1" x14ac:dyDescent="0.25">
      <c r="B4" s="2"/>
      <c r="C4" s="3"/>
      <c r="D4" s="6"/>
      <c r="E4" s="92" t="s">
        <v>32</v>
      </c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4"/>
    </row>
    <row r="5" spans="1:18" ht="19.5" customHeight="1" x14ac:dyDescent="0.25">
      <c r="B5" s="2"/>
      <c r="C5" s="3"/>
      <c r="D5" s="3"/>
      <c r="E5" s="95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7"/>
    </row>
    <row r="6" spans="1:18" ht="18.95" customHeight="1" x14ac:dyDescent="0.25">
      <c r="B6" s="2"/>
      <c r="C6" s="3"/>
      <c r="D6" s="3"/>
      <c r="E6" s="95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7"/>
    </row>
    <row r="7" spans="1:18" ht="18.95" customHeight="1" thickBot="1" x14ac:dyDescent="0.3">
      <c r="B7" s="2"/>
      <c r="C7" s="3"/>
      <c r="D7" s="3"/>
      <c r="E7" s="98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100"/>
    </row>
    <row r="8" spans="1:18" ht="15.95" customHeight="1" thickBot="1" x14ac:dyDescent="0.3">
      <c r="B8" s="2"/>
      <c r="C8" s="3"/>
      <c r="D8" s="3"/>
      <c r="E8" s="169" t="s">
        <v>4</v>
      </c>
      <c r="F8" s="170"/>
      <c r="G8" s="105"/>
      <c r="H8" s="105"/>
      <c r="I8" s="106"/>
      <c r="J8" s="101" t="s">
        <v>27</v>
      </c>
      <c r="K8" s="101"/>
      <c r="L8" s="102"/>
      <c r="M8" s="105"/>
      <c r="N8" s="105"/>
      <c r="O8" s="106"/>
      <c r="P8" s="121" t="s">
        <v>47</v>
      </c>
      <c r="Q8" s="121"/>
      <c r="R8" s="122"/>
    </row>
    <row r="9" spans="1:18" ht="15.95" customHeight="1" thickBot="1" x14ac:dyDescent="0.3">
      <c r="B9" s="2"/>
      <c r="C9" s="3"/>
      <c r="D9" s="3"/>
      <c r="E9" s="169"/>
      <c r="F9" s="170"/>
      <c r="G9" s="107"/>
      <c r="H9" s="107"/>
      <c r="I9" s="108"/>
      <c r="J9" s="103"/>
      <c r="K9" s="103"/>
      <c r="L9" s="104"/>
      <c r="M9" s="107"/>
      <c r="N9" s="107"/>
      <c r="O9" s="108"/>
      <c r="P9" s="123"/>
      <c r="Q9" s="123"/>
      <c r="R9" s="124"/>
    </row>
    <row r="10" spans="1:18" ht="15.95" customHeight="1" thickBot="1" x14ac:dyDescent="0.3">
      <c r="B10" s="2"/>
      <c r="C10" s="3"/>
      <c r="D10" s="3"/>
      <c r="E10" s="169" t="s">
        <v>3</v>
      </c>
      <c r="F10" s="170"/>
      <c r="G10" s="115" t="s">
        <v>30</v>
      </c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7"/>
    </row>
    <row r="11" spans="1:18" ht="15.95" customHeight="1" thickBot="1" x14ac:dyDescent="0.3">
      <c r="B11" s="2"/>
      <c r="C11" s="3"/>
      <c r="D11" s="3"/>
      <c r="E11" s="169"/>
      <c r="F11" s="170"/>
      <c r="G11" s="118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20"/>
    </row>
    <row r="12" spans="1:18" ht="15.95" customHeight="1" thickBot="1" x14ac:dyDescent="0.3">
      <c r="B12" s="2"/>
      <c r="C12" s="3"/>
      <c r="D12" s="3"/>
      <c r="E12" s="171" t="s">
        <v>5</v>
      </c>
      <c r="F12" s="172"/>
      <c r="G12" s="105"/>
      <c r="H12" s="105"/>
      <c r="I12" s="106"/>
      <c r="J12" s="101" t="s">
        <v>45</v>
      </c>
      <c r="K12" s="101"/>
      <c r="L12" s="102"/>
      <c r="M12" s="105"/>
      <c r="N12" s="105"/>
      <c r="O12" s="106"/>
      <c r="P12" s="121" t="s">
        <v>46</v>
      </c>
      <c r="Q12" s="121"/>
      <c r="R12" s="122"/>
    </row>
    <row r="13" spans="1:18" ht="15.95" customHeight="1" thickBot="1" x14ac:dyDescent="0.3">
      <c r="B13" s="2"/>
      <c r="C13" s="3"/>
      <c r="D13" s="3"/>
      <c r="E13" s="171"/>
      <c r="F13" s="172"/>
      <c r="G13" s="107"/>
      <c r="H13" s="107"/>
      <c r="I13" s="108"/>
      <c r="J13" s="103"/>
      <c r="K13" s="103"/>
      <c r="L13" s="104"/>
      <c r="M13" s="107"/>
      <c r="N13" s="107"/>
      <c r="O13" s="108"/>
      <c r="P13" s="123"/>
      <c r="Q13" s="123"/>
      <c r="R13" s="124"/>
    </row>
    <row r="14" spans="1:18" ht="15.95" customHeight="1" thickBot="1" x14ac:dyDescent="0.3">
      <c r="B14" s="2"/>
      <c r="C14" s="3"/>
      <c r="D14" s="3"/>
      <c r="E14" s="169" t="s">
        <v>23</v>
      </c>
      <c r="F14" s="170"/>
      <c r="G14" s="111"/>
      <c r="H14" s="111"/>
      <c r="I14" s="167"/>
      <c r="J14" s="113">
        <f>164*110%</f>
        <v>180.4</v>
      </c>
      <c r="K14" s="113"/>
      <c r="L14" s="109" t="s">
        <v>6</v>
      </c>
      <c r="M14" s="111"/>
      <c r="N14" s="111"/>
      <c r="O14" s="167"/>
      <c r="P14" s="125">
        <f>178*110%</f>
        <v>195.8</v>
      </c>
      <c r="Q14" s="126"/>
      <c r="R14" s="129" t="s">
        <v>6</v>
      </c>
    </row>
    <row r="15" spans="1:18" ht="15.95" customHeight="1" thickBot="1" x14ac:dyDescent="0.3">
      <c r="B15" s="2"/>
      <c r="C15" s="3"/>
      <c r="D15" s="3"/>
      <c r="E15" s="169"/>
      <c r="F15" s="170"/>
      <c r="G15" s="112"/>
      <c r="H15" s="112"/>
      <c r="I15" s="168"/>
      <c r="J15" s="114"/>
      <c r="K15" s="114"/>
      <c r="L15" s="110"/>
      <c r="M15" s="112"/>
      <c r="N15" s="112"/>
      <c r="O15" s="168"/>
      <c r="P15" s="127"/>
      <c r="Q15" s="128"/>
      <c r="R15" s="130"/>
    </row>
    <row r="16" spans="1:18" ht="15.95" customHeight="1" thickBot="1" x14ac:dyDescent="0.3">
      <c r="B16" s="2"/>
      <c r="C16" s="3"/>
      <c r="D16" s="3"/>
      <c r="E16" s="169" t="s">
        <v>7</v>
      </c>
      <c r="F16" s="170"/>
      <c r="G16" s="179"/>
      <c r="H16" s="179"/>
      <c r="I16" s="182"/>
      <c r="J16" s="134">
        <v>0.50318287037037035</v>
      </c>
      <c r="K16" s="134"/>
      <c r="L16" s="173" t="s">
        <v>8</v>
      </c>
      <c r="M16" s="179"/>
      <c r="N16" s="179"/>
      <c r="O16" s="182"/>
      <c r="P16" s="144">
        <v>3.2175925925925926E-3</v>
      </c>
      <c r="Q16" s="145"/>
      <c r="R16" s="148" t="s">
        <v>8</v>
      </c>
    </row>
    <row r="17" spans="2:18" ht="15.95" customHeight="1" thickBot="1" x14ac:dyDescent="0.3">
      <c r="B17" s="4"/>
      <c r="C17" s="5"/>
      <c r="D17" s="5"/>
      <c r="E17" s="169"/>
      <c r="F17" s="170"/>
      <c r="G17" s="180"/>
      <c r="H17" s="180"/>
      <c r="I17" s="183"/>
      <c r="J17" s="135"/>
      <c r="K17" s="135"/>
      <c r="L17" s="174"/>
      <c r="M17" s="180"/>
      <c r="N17" s="180"/>
      <c r="O17" s="183"/>
      <c r="P17" s="146"/>
      <c r="Q17" s="147"/>
      <c r="R17" s="149"/>
    </row>
    <row r="18" spans="2:18" ht="15.95" customHeight="1" x14ac:dyDescent="0.25">
      <c r="B18" s="138" t="s">
        <v>13</v>
      </c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40"/>
    </row>
    <row r="19" spans="2:18" ht="27" customHeight="1" thickBot="1" x14ac:dyDescent="0.3">
      <c r="B19" s="141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3"/>
    </row>
    <row r="20" spans="2:18" ht="39" customHeight="1" thickBot="1" x14ac:dyDescent="0.3">
      <c r="B20" s="156" t="s">
        <v>14</v>
      </c>
      <c r="C20" s="157"/>
      <c r="D20" s="157"/>
      <c r="E20" s="157"/>
      <c r="F20" s="157"/>
      <c r="G20" s="131"/>
      <c r="H20" s="132"/>
      <c r="I20" s="133"/>
      <c r="J20" s="158" t="s">
        <v>15</v>
      </c>
      <c r="K20" s="159"/>
      <c r="L20" s="160"/>
      <c r="M20" s="131"/>
      <c r="N20" s="132"/>
      <c r="O20" s="133"/>
      <c r="P20" s="158" t="s">
        <v>15</v>
      </c>
      <c r="Q20" s="159"/>
      <c r="R20" s="160"/>
    </row>
    <row r="21" spans="2:18" ht="35.25" customHeight="1" thickBot="1" x14ac:dyDescent="0.3">
      <c r="B21" s="177" t="s">
        <v>11</v>
      </c>
      <c r="C21" s="178"/>
      <c r="D21" s="181" t="s">
        <v>9</v>
      </c>
      <c r="E21" s="181"/>
      <c r="F21" s="181"/>
      <c r="G21" s="33"/>
      <c r="H21" s="35"/>
      <c r="I21" s="36"/>
      <c r="J21" s="31" t="s">
        <v>43</v>
      </c>
      <c r="K21" s="136" t="s">
        <v>44</v>
      </c>
      <c r="L21" s="137"/>
      <c r="M21" s="33"/>
      <c r="N21" s="35"/>
      <c r="O21" s="36"/>
      <c r="P21" s="32" t="s">
        <v>43</v>
      </c>
      <c r="Q21" s="175" t="s">
        <v>44</v>
      </c>
      <c r="R21" s="176"/>
    </row>
    <row r="22" spans="2:18" ht="15.95" customHeight="1" x14ac:dyDescent="0.25">
      <c r="B22" s="66">
        <v>0.4</v>
      </c>
      <c r="C22" s="67"/>
      <c r="D22" s="56" t="s">
        <v>21</v>
      </c>
      <c r="E22" s="57"/>
      <c r="F22" s="57"/>
      <c r="G22" s="40"/>
      <c r="H22" s="42"/>
      <c r="I22" s="43"/>
      <c r="J22" s="50" t="s">
        <v>19</v>
      </c>
      <c r="K22" s="52" t="s">
        <v>26</v>
      </c>
      <c r="L22" s="53"/>
      <c r="M22" s="40"/>
      <c r="N22" s="42"/>
      <c r="O22" s="43"/>
      <c r="P22" s="78" t="s">
        <v>19</v>
      </c>
      <c r="Q22" s="80" t="s">
        <v>26</v>
      </c>
      <c r="R22" s="81"/>
    </row>
    <row r="23" spans="2:18" ht="15.95" customHeight="1" thickBot="1" x14ac:dyDescent="0.3">
      <c r="B23" s="70"/>
      <c r="C23" s="71"/>
      <c r="D23" s="64" t="s">
        <v>22</v>
      </c>
      <c r="E23" s="65"/>
      <c r="F23" s="65"/>
      <c r="G23" s="41"/>
      <c r="H23" s="44"/>
      <c r="I23" s="45"/>
      <c r="J23" s="51"/>
      <c r="K23" s="54"/>
      <c r="L23" s="55"/>
      <c r="M23" s="41"/>
      <c r="N23" s="44"/>
      <c r="O23" s="45"/>
      <c r="P23" s="79"/>
      <c r="Q23" s="82"/>
      <c r="R23" s="83"/>
    </row>
    <row r="24" spans="2:18" ht="15.95" customHeight="1" x14ac:dyDescent="0.25">
      <c r="B24" s="66">
        <v>0.6</v>
      </c>
      <c r="C24" s="67"/>
      <c r="D24" s="56" t="s">
        <v>18</v>
      </c>
      <c r="E24" s="57"/>
      <c r="F24" s="57"/>
      <c r="G24" s="40"/>
      <c r="H24" s="46"/>
      <c r="I24" s="47"/>
      <c r="J24" s="50" t="s">
        <v>19</v>
      </c>
      <c r="K24" s="88" t="s">
        <v>25</v>
      </c>
      <c r="L24" s="89"/>
      <c r="M24" s="40"/>
      <c r="N24" s="46"/>
      <c r="O24" s="47"/>
      <c r="P24" s="78" t="s">
        <v>19</v>
      </c>
      <c r="Q24" s="84" t="s">
        <v>25</v>
      </c>
      <c r="R24" s="85"/>
    </row>
    <row r="25" spans="2:18" ht="15.95" customHeight="1" thickBot="1" x14ac:dyDescent="0.3">
      <c r="B25" s="68"/>
      <c r="C25" s="69"/>
      <c r="D25" s="64" t="s">
        <v>12</v>
      </c>
      <c r="E25" s="65"/>
      <c r="F25" s="65"/>
      <c r="G25" s="41"/>
      <c r="H25" s="48"/>
      <c r="I25" s="49"/>
      <c r="J25" s="51"/>
      <c r="K25" s="90"/>
      <c r="L25" s="91"/>
      <c r="M25" s="41"/>
      <c r="N25" s="48"/>
      <c r="O25" s="49"/>
      <c r="P25" s="79"/>
      <c r="Q25" s="86"/>
      <c r="R25" s="87"/>
    </row>
    <row r="26" spans="2:18" ht="15.75" customHeight="1" x14ac:dyDescent="0.25">
      <c r="B26" s="68"/>
      <c r="C26" s="69"/>
      <c r="D26" s="56" t="s">
        <v>18</v>
      </c>
      <c r="E26" s="57"/>
      <c r="F26" s="57"/>
      <c r="G26" s="40"/>
      <c r="H26" s="42"/>
      <c r="I26" s="43"/>
      <c r="J26" s="50" t="s">
        <v>20</v>
      </c>
      <c r="K26" s="52" t="s">
        <v>10</v>
      </c>
      <c r="L26" s="53"/>
      <c r="M26" s="40"/>
      <c r="N26" s="42"/>
      <c r="O26" s="43"/>
      <c r="P26" s="78" t="s">
        <v>20</v>
      </c>
      <c r="Q26" s="80" t="s">
        <v>10</v>
      </c>
      <c r="R26" s="81"/>
    </row>
    <row r="27" spans="2:18" ht="15.75" customHeight="1" thickBot="1" x14ac:dyDescent="0.3">
      <c r="B27" s="70"/>
      <c r="C27" s="71"/>
      <c r="D27" s="64" t="s">
        <v>12</v>
      </c>
      <c r="E27" s="65"/>
      <c r="F27" s="65"/>
      <c r="G27" s="41"/>
      <c r="H27" s="44"/>
      <c r="I27" s="45"/>
      <c r="J27" s="51"/>
      <c r="K27" s="54"/>
      <c r="L27" s="55"/>
      <c r="M27" s="41"/>
      <c r="N27" s="44"/>
      <c r="O27" s="45"/>
      <c r="P27" s="79"/>
      <c r="Q27" s="82"/>
      <c r="R27" s="83"/>
    </row>
    <row r="28" spans="2:18" ht="15.95" customHeight="1" x14ac:dyDescent="0.25">
      <c r="B28" s="188"/>
      <c r="C28" s="189"/>
      <c r="D28" s="56"/>
      <c r="E28" s="57"/>
      <c r="F28" s="57"/>
      <c r="G28" s="40"/>
      <c r="H28" s="42"/>
      <c r="I28" s="43"/>
      <c r="J28" s="50"/>
      <c r="K28" s="52"/>
      <c r="L28" s="53"/>
      <c r="M28" s="40"/>
      <c r="N28" s="42"/>
      <c r="O28" s="43"/>
      <c r="P28" s="78"/>
      <c r="Q28" s="80"/>
      <c r="R28" s="81"/>
    </row>
    <row r="29" spans="2:18" ht="15.95" customHeight="1" thickBot="1" x14ac:dyDescent="0.3">
      <c r="B29" s="190"/>
      <c r="C29" s="191"/>
      <c r="D29" s="64"/>
      <c r="E29" s="65"/>
      <c r="F29" s="65"/>
      <c r="G29" s="41"/>
      <c r="H29" s="44"/>
      <c r="I29" s="45"/>
      <c r="J29" s="51"/>
      <c r="K29" s="54"/>
      <c r="L29" s="55"/>
      <c r="M29" s="41"/>
      <c r="N29" s="44"/>
      <c r="O29" s="45"/>
      <c r="P29" s="79"/>
      <c r="Q29" s="82"/>
      <c r="R29" s="83"/>
    </row>
    <row r="30" spans="2:18" ht="15.75" customHeight="1" x14ac:dyDescent="0.25">
      <c r="B30" s="184" t="s">
        <v>16</v>
      </c>
      <c r="C30" s="185"/>
      <c r="D30" s="58" t="s">
        <v>17</v>
      </c>
      <c r="E30" s="59"/>
      <c r="F30" s="60"/>
      <c r="G30" s="34"/>
      <c r="H30" s="35"/>
      <c r="I30" s="36"/>
      <c r="J30" s="72" t="s">
        <v>24</v>
      </c>
      <c r="K30" s="74" t="s">
        <v>20</v>
      </c>
      <c r="L30" s="75"/>
      <c r="M30" s="34"/>
      <c r="N30" s="35"/>
      <c r="O30" s="36"/>
      <c r="P30" s="72" t="s">
        <v>24</v>
      </c>
      <c r="Q30" s="74" t="s">
        <v>20</v>
      </c>
      <c r="R30" s="75"/>
    </row>
    <row r="31" spans="2:18" ht="15.75" customHeight="1" thickBot="1" x14ac:dyDescent="0.3">
      <c r="B31" s="186"/>
      <c r="C31" s="187"/>
      <c r="D31" s="61"/>
      <c r="E31" s="62"/>
      <c r="F31" s="63"/>
      <c r="G31" s="37"/>
      <c r="H31" s="38"/>
      <c r="I31" s="39"/>
      <c r="J31" s="73"/>
      <c r="K31" s="76"/>
      <c r="L31" s="77"/>
      <c r="M31" s="37"/>
      <c r="N31" s="38"/>
      <c r="O31" s="39"/>
      <c r="P31" s="73"/>
      <c r="Q31" s="76"/>
      <c r="R31" s="77"/>
    </row>
    <row r="32" spans="2:18" ht="15.75" customHeight="1" x14ac:dyDescent="0.25">
      <c r="G32" s="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</sheetData>
  <mergeCells count="96">
    <mergeCell ref="O14:O15"/>
    <mergeCell ref="M16:N17"/>
    <mergeCell ref="O16:O17"/>
    <mergeCell ref="G22:G23"/>
    <mergeCell ref="G16:H17"/>
    <mergeCell ref="J22:J23"/>
    <mergeCell ref="J30:J31"/>
    <mergeCell ref="B22:C23"/>
    <mergeCell ref="D22:F22"/>
    <mergeCell ref="D21:F21"/>
    <mergeCell ref="H22:I23"/>
    <mergeCell ref="D23:F23"/>
    <mergeCell ref="J24:J25"/>
    <mergeCell ref="E16:F17"/>
    <mergeCell ref="I16:I17"/>
    <mergeCell ref="D25:F25"/>
    <mergeCell ref="B30:C31"/>
    <mergeCell ref="D27:F27"/>
    <mergeCell ref="B28:C29"/>
    <mergeCell ref="K22:L23"/>
    <mergeCell ref="P22:P23"/>
    <mergeCell ref="Q22:R23"/>
    <mergeCell ref="B2:D3"/>
    <mergeCell ref="B20:F20"/>
    <mergeCell ref="J20:L20"/>
    <mergeCell ref="E2:R3"/>
    <mergeCell ref="I14:I15"/>
    <mergeCell ref="E8:F9"/>
    <mergeCell ref="E10:F11"/>
    <mergeCell ref="E12:F13"/>
    <mergeCell ref="E14:F15"/>
    <mergeCell ref="L16:L17"/>
    <mergeCell ref="P20:R20"/>
    <mergeCell ref="Q21:R21"/>
    <mergeCell ref="B21:C21"/>
    <mergeCell ref="G20:I20"/>
    <mergeCell ref="J16:K17"/>
    <mergeCell ref="H21:I21"/>
    <mergeCell ref="K21:L21"/>
    <mergeCell ref="B18:R19"/>
    <mergeCell ref="P16:Q17"/>
    <mergeCell ref="R16:R17"/>
    <mergeCell ref="M20:O20"/>
    <mergeCell ref="N21:O21"/>
    <mergeCell ref="E4:R7"/>
    <mergeCell ref="J8:L9"/>
    <mergeCell ref="G8:I9"/>
    <mergeCell ref="L14:L15"/>
    <mergeCell ref="G12:I13"/>
    <mergeCell ref="J12:L13"/>
    <mergeCell ref="G14:H15"/>
    <mergeCell ref="J14:K15"/>
    <mergeCell ref="G10:R11"/>
    <mergeCell ref="P8:R9"/>
    <mergeCell ref="P12:R13"/>
    <mergeCell ref="P14:Q15"/>
    <mergeCell ref="R14:R15"/>
    <mergeCell ref="M8:O9"/>
    <mergeCell ref="M12:O13"/>
    <mergeCell ref="M14:N15"/>
    <mergeCell ref="B24:C27"/>
    <mergeCell ref="D24:F24"/>
    <mergeCell ref="G24:G25"/>
    <mergeCell ref="P30:P31"/>
    <mergeCell ref="Q30:R31"/>
    <mergeCell ref="P26:P27"/>
    <mergeCell ref="Q26:R27"/>
    <mergeCell ref="P24:P25"/>
    <mergeCell ref="Q24:R25"/>
    <mergeCell ref="Q28:R29"/>
    <mergeCell ref="P28:P29"/>
    <mergeCell ref="K24:L25"/>
    <mergeCell ref="H24:I25"/>
    <mergeCell ref="K30:L31"/>
    <mergeCell ref="H26:I27"/>
    <mergeCell ref="J26:J27"/>
    <mergeCell ref="D30:F31"/>
    <mergeCell ref="G30:I31"/>
    <mergeCell ref="D29:F29"/>
    <mergeCell ref="G28:G29"/>
    <mergeCell ref="H28:I29"/>
    <mergeCell ref="J28:J29"/>
    <mergeCell ref="K28:L29"/>
    <mergeCell ref="D28:F28"/>
    <mergeCell ref="K26:L27"/>
    <mergeCell ref="D26:F26"/>
    <mergeCell ref="G26:G27"/>
    <mergeCell ref="M30:O31"/>
    <mergeCell ref="M28:M29"/>
    <mergeCell ref="N28:O29"/>
    <mergeCell ref="M22:M23"/>
    <mergeCell ref="N22:O23"/>
    <mergeCell ref="M24:M25"/>
    <mergeCell ref="N24:O25"/>
    <mergeCell ref="M26:M27"/>
    <mergeCell ref="N26:O27"/>
  </mergeCells>
  <phoneticPr fontId="7" type="noConversion"/>
  <printOptions horizontalCentered="1"/>
  <pageMargins left="0.11811023622047245" right="0.11811023622047245" top="0.27" bottom="0" header="0.32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21"/>
  <sheetViews>
    <sheetView workbookViewId="0">
      <selection activeCell="F18" sqref="F18"/>
    </sheetView>
  </sheetViews>
  <sheetFormatPr baseColWidth="10" defaultRowHeight="15" x14ac:dyDescent="0.25"/>
  <cols>
    <col min="4" max="7" width="20" bestFit="1" customWidth="1"/>
    <col min="9" max="9" width="15.5703125" bestFit="1" customWidth="1"/>
  </cols>
  <sheetData>
    <row r="1" spans="3:9" ht="15.75" thickBot="1" x14ac:dyDescent="0.3"/>
    <row r="2" spans="3:9" ht="15" customHeight="1" x14ac:dyDescent="0.25">
      <c r="D2" s="192" t="s">
        <v>29</v>
      </c>
      <c r="E2" s="192" t="s">
        <v>27</v>
      </c>
      <c r="F2" s="192" t="s">
        <v>28</v>
      </c>
      <c r="G2" s="192" t="s">
        <v>35</v>
      </c>
    </row>
    <row r="3" spans="3:9" ht="15.75" customHeight="1" thickBot="1" x14ac:dyDescent="0.3">
      <c r="D3" s="193"/>
      <c r="E3" s="193"/>
      <c r="F3" s="193"/>
      <c r="G3" s="193"/>
    </row>
    <row r="4" spans="3:9" ht="15" customHeight="1" x14ac:dyDescent="0.25">
      <c r="D4" s="194"/>
      <c r="E4" s="194" t="s">
        <v>31</v>
      </c>
      <c r="F4" s="194"/>
      <c r="G4" s="194"/>
    </row>
    <row r="5" spans="3:9" ht="15.75" customHeight="1" thickBot="1" x14ac:dyDescent="0.3">
      <c r="D5" s="195"/>
      <c r="E5" s="195"/>
      <c r="F5" s="195"/>
      <c r="G5" s="195"/>
    </row>
    <row r="6" spans="3:9" ht="23.25" x14ac:dyDescent="0.3">
      <c r="C6" s="11" t="s">
        <v>33</v>
      </c>
      <c r="D6" s="13">
        <v>0.16</v>
      </c>
      <c r="E6" s="8">
        <v>0.1787</v>
      </c>
      <c r="F6" s="8">
        <v>0.18920000000000001</v>
      </c>
      <c r="G6" s="8">
        <v>0.19850000000000001</v>
      </c>
    </row>
    <row r="7" spans="3:9" ht="21" thickBot="1" x14ac:dyDescent="0.3">
      <c r="C7" s="25" t="s">
        <v>36</v>
      </c>
      <c r="D7" s="24">
        <v>150</v>
      </c>
      <c r="E7" s="24">
        <v>300</v>
      </c>
      <c r="F7" s="24">
        <v>300</v>
      </c>
      <c r="G7" s="24">
        <v>150</v>
      </c>
    </row>
    <row r="8" spans="3:9" ht="18.75" customHeight="1" x14ac:dyDescent="0.3">
      <c r="C8" s="17" t="s">
        <v>38</v>
      </c>
      <c r="D8" s="14">
        <f>D6*40%</f>
        <v>6.4000000000000001E-2</v>
      </c>
      <c r="E8" s="14">
        <f t="shared" ref="E8:G8" si="0">E6*40%</f>
        <v>7.1480000000000002E-2</v>
      </c>
      <c r="F8" s="14">
        <f t="shared" si="0"/>
        <v>7.5680000000000011E-2</v>
      </c>
      <c r="G8" s="14">
        <f t="shared" si="0"/>
        <v>7.9400000000000012E-2</v>
      </c>
      <c r="H8" s="18" t="s">
        <v>38</v>
      </c>
      <c r="I8" s="29" t="s">
        <v>21</v>
      </c>
    </row>
    <row r="9" spans="3:9" ht="19.5" customHeight="1" thickBot="1" x14ac:dyDescent="0.3">
      <c r="C9" s="10" t="s">
        <v>37</v>
      </c>
      <c r="D9" s="15">
        <f>D8*D7</f>
        <v>9.6</v>
      </c>
      <c r="E9" s="15">
        <f t="shared" ref="E9:G9" si="1">E8*E7</f>
        <v>21.443999999999999</v>
      </c>
      <c r="F9" s="15">
        <f t="shared" si="1"/>
        <v>22.704000000000004</v>
      </c>
      <c r="G9" s="15">
        <f t="shared" si="1"/>
        <v>11.910000000000002</v>
      </c>
      <c r="H9" s="16">
        <f>SUM(D9:G9)</f>
        <v>65.658000000000001</v>
      </c>
      <c r="I9" s="30" t="s">
        <v>22</v>
      </c>
    </row>
    <row r="10" spans="3:9" ht="18.75" x14ac:dyDescent="0.3">
      <c r="D10" s="11"/>
    </row>
    <row r="11" spans="3:9" ht="18.75" x14ac:dyDescent="0.3">
      <c r="C11" s="23" t="s">
        <v>18</v>
      </c>
      <c r="D11" s="21">
        <f>D6*60%</f>
        <v>9.6000000000000002E-2</v>
      </c>
      <c r="E11" s="21">
        <f t="shared" ref="E11:G11" si="2">E6*60%</f>
        <v>0.10722</v>
      </c>
      <c r="F11" s="21">
        <f t="shared" si="2"/>
        <v>0.11352</v>
      </c>
      <c r="G11" s="21">
        <f t="shared" si="2"/>
        <v>0.1191</v>
      </c>
      <c r="H11" s="23" t="s">
        <v>18</v>
      </c>
    </row>
    <row r="12" spans="3:9" ht="18.75" x14ac:dyDescent="0.25">
      <c r="C12" s="9" t="s">
        <v>39</v>
      </c>
      <c r="D12" s="20">
        <f>D11*D7</f>
        <v>14.4</v>
      </c>
      <c r="E12" s="20">
        <f t="shared" ref="E12:G12" si="3">E11*E7</f>
        <v>32.165999999999997</v>
      </c>
      <c r="F12" s="20">
        <f t="shared" si="3"/>
        <v>34.055999999999997</v>
      </c>
      <c r="G12" s="20">
        <f t="shared" si="3"/>
        <v>17.864999999999998</v>
      </c>
      <c r="H12" s="22">
        <f>SUM(D12:G12)</f>
        <v>98.486999999999981</v>
      </c>
    </row>
    <row r="19" spans="4:5" ht="15.75" thickBot="1" x14ac:dyDescent="0.3"/>
    <row r="20" spans="4:5" ht="20.25" x14ac:dyDescent="0.25">
      <c r="D20" s="9" t="s">
        <v>34</v>
      </c>
      <c r="E20" s="7">
        <v>0.50310185185185186</v>
      </c>
    </row>
    <row r="21" spans="4:5" ht="21" thickBot="1" x14ac:dyDescent="0.3">
      <c r="E21" s="12"/>
    </row>
  </sheetData>
  <mergeCells count="8">
    <mergeCell ref="D2:D3"/>
    <mergeCell ref="D4:D5"/>
    <mergeCell ref="F2:F3"/>
    <mergeCell ref="F4:F5"/>
    <mergeCell ref="G2:G3"/>
    <mergeCell ref="G4:G5"/>
    <mergeCell ref="E2:E3"/>
    <mergeCell ref="E4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H17"/>
  <sheetViews>
    <sheetView workbookViewId="0">
      <selection activeCell="F12" sqref="F12"/>
    </sheetView>
  </sheetViews>
  <sheetFormatPr baseColWidth="10" defaultRowHeight="15" x14ac:dyDescent="0.25"/>
  <cols>
    <col min="3" max="3" width="12.7109375" bestFit="1" customWidth="1"/>
    <col min="4" max="7" width="20" bestFit="1" customWidth="1"/>
  </cols>
  <sheetData>
    <row r="1" spans="3:8" ht="15.75" thickBot="1" x14ac:dyDescent="0.3"/>
    <row r="2" spans="3:8" x14ac:dyDescent="0.25">
      <c r="D2" s="192" t="s">
        <v>29</v>
      </c>
      <c r="E2" s="192" t="s">
        <v>27</v>
      </c>
      <c r="F2" s="192" t="s">
        <v>28</v>
      </c>
      <c r="G2" s="192" t="s">
        <v>35</v>
      </c>
    </row>
    <row r="3" spans="3:8" ht="15.75" thickBot="1" x14ac:dyDescent="0.3">
      <c r="D3" s="193"/>
      <c r="E3" s="193"/>
      <c r="F3" s="193"/>
      <c r="G3" s="193"/>
    </row>
    <row r="4" spans="3:8" x14ac:dyDescent="0.25">
      <c r="D4" s="194"/>
      <c r="E4" s="194" t="s">
        <v>31</v>
      </c>
      <c r="F4" s="194"/>
      <c r="G4" s="194"/>
    </row>
    <row r="5" spans="3:8" ht="15.75" thickBot="1" x14ac:dyDescent="0.3">
      <c r="D5" s="195"/>
      <c r="E5" s="195"/>
      <c r="F5" s="195"/>
      <c r="G5" s="195"/>
    </row>
    <row r="6" spans="3:8" ht="23.25" x14ac:dyDescent="0.3">
      <c r="C6" s="11" t="s">
        <v>33</v>
      </c>
      <c r="D6" s="26">
        <v>0.1673611111111111</v>
      </c>
      <c r="E6" s="26">
        <v>0.18611111111111112</v>
      </c>
      <c r="F6" s="26">
        <v>0.20138888888888887</v>
      </c>
      <c r="G6" s="26">
        <v>0.21388888888888891</v>
      </c>
    </row>
    <row r="7" spans="3:8" ht="20.25" x14ac:dyDescent="0.25">
      <c r="C7" s="25" t="s">
        <v>36</v>
      </c>
      <c r="D7" s="24">
        <v>500</v>
      </c>
      <c r="E7" s="24">
        <v>800</v>
      </c>
      <c r="F7" s="24">
        <v>950</v>
      </c>
      <c r="G7" s="24">
        <v>650</v>
      </c>
      <c r="H7" s="28">
        <f>SUM(D7:G7)</f>
        <v>2900</v>
      </c>
    </row>
    <row r="8" spans="3:8" ht="18.75" x14ac:dyDescent="0.3">
      <c r="C8" s="11" t="s">
        <v>40</v>
      </c>
      <c r="D8" s="19">
        <v>15</v>
      </c>
      <c r="E8" s="19">
        <v>12</v>
      </c>
      <c r="F8" s="19">
        <v>12</v>
      </c>
      <c r="G8" s="19">
        <v>11</v>
      </c>
    </row>
    <row r="9" spans="3:8" ht="18.75" x14ac:dyDescent="0.3">
      <c r="C9" s="11" t="s">
        <v>41</v>
      </c>
      <c r="D9" s="19">
        <f>D8*9.5</f>
        <v>142.5</v>
      </c>
      <c r="E9" s="19">
        <f>E8*9.5</f>
        <v>114</v>
      </c>
      <c r="F9" s="19">
        <f t="shared" ref="F9:G9" si="0">F8*9.5</f>
        <v>114</v>
      </c>
      <c r="G9" s="19">
        <f t="shared" si="0"/>
        <v>104.5</v>
      </c>
    </row>
    <row r="10" spans="3:8" ht="18.75" customHeight="1" x14ac:dyDescent="0.25">
      <c r="C10" s="196" t="s">
        <v>42</v>
      </c>
      <c r="D10" s="27">
        <v>4</v>
      </c>
      <c r="E10" s="27">
        <v>8</v>
      </c>
      <c r="F10" s="27">
        <v>9</v>
      </c>
      <c r="G10" s="27">
        <v>7</v>
      </c>
    </row>
    <row r="11" spans="3:8" ht="18.75" customHeight="1" x14ac:dyDescent="0.25">
      <c r="C11" s="196"/>
      <c r="D11" s="27">
        <f>D10*D9</f>
        <v>570</v>
      </c>
      <c r="E11" s="27">
        <f t="shared" ref="E11:G11" si="1">E10*E9</f>
        <v>912</v>
      </c>
      <c r="F11" s="27">
        <f t="shared" si="1"/>
        <v>1026</v>
      </c>
      <c r="G11" s="27">
        <f t="shared" si="1"/>
        <v>731.5</v>
      </c>
    </row>
    <row r="12" spans="3:8" ht="18.75" x14ac:dyDescent="0.3">
      <c r="C12" s="11"/>
      <c r="D12" s="19"/>
      <c r="E12" s="19"/>
      <c r="F12" s="19"/>
      <c r="G12" s="19"/>
    </row>
    <row r="13" spans="3:8" ht="18" x14ac:dyDescent="0.25">
      <c r="D13" s="19"/>
      <c r="E13" s="19"/>
      <c r="F13" s="19"/>
      <c r="G13" s="19"/>
    </row>
    <row r="14" spans="3:8" ht="18" x14ac:dyDescent="0.25">
      <c r="D14" s="19"/>
      <c r="E14" s="19"/>
      <c r="F14" s="19"/>
      <c r="G14" s="19"/>
    </row>
    <row r="15" spans="3:8" ht="18" x14ac:dyDescent="0.25">
      <c r="D15" s="19"/>
      <c r="E15" s="19"/>
      <c r="F15" s="19"/>
      <c r="G15" s="19"/>
    </row>
    <row r="16" spans="3:8" ht="18" x14ac:dyDescent="0.25">
      <c r="D16" s="19"/>
      <c r="E16" s="19"/>
      <c r="F16" s="19"/>
      <c r="G16" s="19"/>
    </row>
    <row r="17" spans="4:7" ht="18" x14ac:dyDescent="0.25">
      <c r="D17" s="19"/>
      <c r="E17" s="19"/>
      <c r="F17" s="19"/>
      <c r="G17" s="19"/>
    </row>
  </sheetData>
  <mergeCells count="9">
    <mergeCell ref="C10:C11"/>
    <mergeCell ref="D2:D3"/>
    <mergeCell ref="E2:E3"/>
    <mergeCell ref="F2:F3"/>
    <mergeCell ref="G2:G3"/>
    <mergeCell ref="D4:D5"/>
    <mergeCell ref="E4:E5"/>
    <mergeCell ref="F4:F5"/>
    <mergeCell ref="G4:G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7667-7644-4525-9911-52694F3BCB42}">
  <dimension ref="A3:H20"/>
  <sheetViews>
    <sheetView tabSelected="1" workbookViewId="0">
      <selection activeCell="F19" sqref="F19"/>
    </sheetView>
  </sheetViews>
  <sheetFormatPr baseColWidth="10" defaultRowHeight="15" x14ac:dyDescent="0.25"/>
  <cols>
    <col min="2" max="2" width="24.28515625" customWidth="1"/>
    <col min="5" max="5" width="27.140625" customWidth="1"/>
  </cols>
  <sheetData>
    <row r="3" spans="1:8" ht="24.75" x14ac:dyDescent="0.5">
      <c r="A3" s="197" t="s">
        <v>48</v>
      </c>
      <c r="B3" s="197"/>
      <c r="C3" s="197"/>
      <c r="D3" s="197"/>
      <c r="E3" s="197"/>
      <c r="F3" s="197" t="s">
        <v>52</v>
      </c>
      <c r="G3" s="197"/>
      <c r="H3" s="197"/>
    </row>
    <row r="4" spans="1:8" ht="24.75" x14ac:dyDescent="0.5">
      <c r="A4" s="197"/>
      <c r="B4" s="197"/>
      <c r="C4" s="197"/>
      <c r="D4" s="197"/>
      <c r="E4" s="197"/>
      <c r="F4" s="197" t="s">
        <v>53</v>
      </c>
      <c r="G4" s="197"/>
      <c r="H4" s="197"/>
    </row>
    <row r="5" spans="1:8" ht="24.75" x14ac:dyDescent="0.5">
      <c r="A5" s="197" t="s">
        <v>49</v>
      </c>
      <c r="B5" s="197"/>
      <c r="C5" s="197"/>
      <c r="D5" s="197"/>
      <c r="E5" s="197"/>
      <c r="F5" s="197"/>
      <c r="G5" s="197"/>
      <c r="H5" s="197"/>
    </row>
    <row r="6" spans="1:8" ht="24.75" x14ac:dyDescent="0.5">
      <c r="A6" s="197"/>
      <c r="B6" s="197" t="s">
        <v>50</v>
      </c>
      <c r="C6" s="197"/>
      <c r="D6" s="197"/>
      <c r="E6" s="197"/>
      <c r="F6" s="197"/>
      <c r="G6" s="197"/>
      <c r="H6" s="197"/>
    </row>
    <row r="7" spans="1:8" ht="24.75" x14ac:dyDescent="0.5">
      <c r="A7" s="197"/>
      <c r="B7" s="197" t="s">
        <v>51</v>
      </c>
      <c r="C7" s="197" t="s">
        <v>54</v>
      </c>
      <c r="D7" s="197"/>
      <c r="E7" s="197"/>
      <c r="F7" s="197"/>
      <c r="G7" s="197"/>
      <c r="H7" s="197"/>
    </row>
    <row r="8" spans="1:8" ht="24.75" x14ac:dyDescent="0.5">
      <c r="A8" s="197"/>
      <c r="B8" s="197" t="s">
        <v>55</v>
      </c>
      <c r="C8" s="197" t="s">
        <v>56</v>
      </c>
      <c r="D8" s="197"/>
      <c r="E8" s="197"/>
      <c r="F8" s="197"/>
      <c r="G8" s="197"/>
      <c r="H8" s="197"/>
    </row>
    <row r="9" spans="1:8" ht="24.75" x14ac:dyDescent="0.5">
      <c r="A9" s="197"/>
      <c r="B9" s="197" t="s">
        <v>57</v>
      </c>
      <c r="C9" s="197" t="s">
        <v>58</v>
      </c>
      <c r="D9" s="197"/>
      <c r="E9" s="197"/>
      <c r="F9" s="197"/>
      <c r="G9" s="197"/>
      <c r="H9" s="197"/>
    </row>
    <row r="10" spans="1:8" ht="24.75" x14ac:dyDescent="0.5">
      <c r="A10" s="197"/>
      <c r="B10" s="197" t="s">
        <v>59</v>
      </c>
      <c r="C10" s="197"/>
      <c r="D10" s="197" t="s">
        <v>60</v>
      </c>
      <c r="E10" s="197"/>
      <c r="F10" s="197"/>
      <c r="G10" s="197"/>
      <c r="H10" s="197"/>
    </row>
    <row r="11" spans="1:8" ht="24.75" x14ac:dyDescent="0.5">
      <c r="A11" s="197"/>
      <c r="B11" s="197" t="s">
        <v>61</v>
      </c>
      <c r="C11" s="197" t="s">
        <v>62</v>
      </c>
      <c r="D11" s="197"/>
      <c r="E11" s="197"/>
      <c r="F11" s="197"/>
      <c r="G11" s="197"/>
      <c r="H11" s="197"/>
    </row>
    <row r="12" spans="1:8" ht="24.75" x14ac:dyDescent="0.5">
      <c r="A12" s="197"/>
      <c r="B12" s="197" t="s">
        <v>63</v>
      </c>
      <c r="C12" s="197" t="s">
        <v>64</v>
      </c>
      <c r="D12" s="197"/>
      <c r="E12" s="197"/>
      <c r="F12" s="197"/>
      <c r="G12" s="197"/>
      <c r="H12" s="197"/>
    </row>
    <row r="13" spans="1:8" ht="24.75" x14ac:dyDescent="0.5">
      <c r="A13" s="197"/>
      <c r="B13" s="197" t="s">
        <v>57</v>
      </c>
      <c r="C13" s="197" t="s">
        <v>65</v>
      </c>
      <c r="D13" s="197"/>
      <c r="E13" s="197"/>
      <c r="F13" s="197"/>
      <c r="G13" s="197"/>
      <c r="H13" s="197"/>
    </row>
    <row r="14" spans="1:8" ht="24.75" x14ac:dyDescent="0.5">
      <c r="A14" s="197"/>
      <c r="B14" s="197"/>
      <c r="C14" s="197" t="s">
        <v>66</v>
      </c>
      <c r="D14" s="197"/>
      <c r="E14" s="197"/>
      <c r="F14" s="197"/>
      <c r="G14" s="197"/>
      <c r="H14" s="197"/>
    </row>
    <row r="15" spans="1:8" ht="24.75" x14ac:dyDescent="0.5">
      <c r="A15" s="197"/>
      <c r="B15" s="197" t="s">
        <v>67</v>
      </c>
      <c r="C15" s="197"/>
      <c r="D15" s="197"/>
      <c r="E15" s="197"/>
      <c r="F15" s="197"/>
      <c r="G15" s="197"/>
      <c r="H15" s="197"/>
    </row>
    <row r="16" spans="1:8" ht="24.75" x14ac:dyDescent="0.5">
      <c r="A16" s="197"/>
      <c r="B16" s="197"/>
      <c r="C16" s="197"/>
      <c r="D16" s="197"/>
      <c r="E16" s="197"/>
      <c r="F16" s="197"/>
      <c r="G16" s="197"/>
      <c r="H16" s="197"/>
    </row>
    <row r="17" spans="1:8" ht="24.75" x14ac:dyDescent="0.5">
      <c r="A17" s="197"/>
      <c r="B17" s="197"/>
      <c r="C17" s="197"/>
      <c r="D17" s="197"/>
      <c r="E17" s="197"/>
      <c r="F17" s="197"/>
      <c r="G17" s="197"/>
      <c r="H17" s="197"/>
    </row>
    <row r="18" spans="1:8" ht="24.75" x14ac:dyDescent="0.5">
      <c r="A18" s="197"/>
      <c r="B18" s="197"/>
      <c r="C18" s="197"/>
      <c r="D18" s="197"/>
      <c r="E18" s="197"/>
      <c r="F18" s="197"/>
      <c r="G18" s="197"/>
      <c r="H18" s="197"/>
    </row>
    <row r="19" spans="1:8" ht="24.75" x14ac:dyDescent="0.5">
      <c r="A19" s="197"/>
      <c r="B19" s="197" t="s">
        <v>68</v>
      </c>
      <c r="C19" s="197"/>
      <c r="D19" s="197"/>
      <c r="E19" s="197"/>
      <c r="F19" s="197"/>
      <c r="G19" s="197"/>
      <c r="H19" s="197"/>
    </row>
    <row r="20" spans="1:8" ht="24.75" x14ac:dyDescent="0.5">
      <c r="A20" s="197"/>
      <c r="B20" s="198"/>
      <c r="C20" s="197"/>
      <c r="D20" s="197"/>
      <c r="E20" s="197"/>
      <c r="F20" s="197"/>
      <c r="G20" s="197"/>
      <c r="H20" s="1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 TECNICA</vt:lpstr>
      <vt:lpstr>Hilatura</vt:lpstr>
      <vt:lpstr>tiempos</vt:lpstr>
      <vt:lpstr>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2025-12-31T17:28:51Z</cp:lastPrinted>
  <dcterms:created xsi:type="dcterms:W3CDTF">2023-10-31T20:19:37Z</dcterms:created>
  <dcterms:modified xsi:type="dcterms:W3CDTF">2026-01-07T18:10:41Z</dcterms:modified>
  <dc:language>es-MX</dc:language>
</cp:coreProperties>
</file>