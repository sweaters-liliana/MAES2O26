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gramacion\MAES2O26\Fichas\"/>
    </mc:Choice>
  </mc:AlternateContent>
  <xr:revisionPtr revIDLastSave="0" documentId="8_{5AD76372-568E-4802-90E3-A5D6F7B7156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CONFECCION" sheetId="2" r:id="rId2"/>
    <sheet name="FICHA ANTERI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8" i="1" l="1"/>
  <c r="G68" i="1"/>
  <c r="M41" i="1"/>
  <c r="G41" i="1"/>
  <c r="M14" i="1"/>
  <c r="G14" i="1"/>
  <c r="M68" i="3"/>
  <c r="G68" i="3"/>
  <c r="M41" i="3"/>
  <c r="G41" i="3"/>
  <c r="M14" i="3"/>
  <c r="G14" i="3"/>
</calcChain>
</file>

<file path=xl/sharedStrings.xml><?xml version="1.0" encoding="utf-8"?>
<sst xmlns="http://schemas.openxmlformats.org/spreadsheetml/2006/main" count="286" uniqueCount="69">
  <si>
    <t xml:space="preserve"> 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</si>
  <si>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</si>
  <si>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</si>
  <si>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</si>
  <si>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</si>
  <si>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</si>
  <si>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</si>
  <si>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</si>
  <si>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</si>
  <si>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%</t>
  </si>
  <si>
    <t>ENHEBRADO</t>
  </si>
  <si>
    <t>SIS.</t>
  </si>
  <si>
    <t>TIPO DE MAQUINA</t>
  </si>
  <si>
    <t>PESO +10%:</t>
  </si>
  <si>
    <t>TUBOS</t>
  </si>
  <si>
    <t>SE MULTIPLICA X 2</t>
  </si>
  <si>
    <t>MUESTRA</t>
  </si>
  <si>
    <t>S038T08C</t>
  </si>
  <si>
    <t>20/40/24</t>
  </si>
  <si>
    <t>LICRA MIAMI</t>
  </si>
  <si>
    <t xml:space="preserve">NYLON </t>
  </si>
  <si>
    <t>70/68</t>
  </si>
  <si>
    <t>#2</t>
  </si>
  <si>
    <t>#5</t>
  </si>
  <si>
    <t>TODOS</t>
  </si>
  <si>
    <t>LEGGINGS PIQUE 1X1 ACAMPANADO</t>
  </si>
  <si>
    <t>CHICA</t>
  </si>
  <si>
    <t>PRETINA</t>
  </si>
  <si>
    <t>TOP2 13"</t>
  </si>
  <si>
    <t>FICHA TECNICA</t>
  </si>
  <si>
    <t>MODELO:</t>
  </si>
  <si>
    <t>PANTALON  PIKE</t>
  </si>
  <si>
    <t>CORTE/MOLDE:</t>
  </si>
  <si>
    <t>OVERLOCK:</t>
  </si>
  <si>
    <t>RECTA:</t>
  </si>
  <si>
    <t>ETIQUETA</t>
  </si>
  <si>
    <t>AREA HABILITACION:</t>
  </si>
  <si>
    <t>DESHEBRA</t>
  </si>
  <si>
    <t>SHASA</t>
  </si>
  <si>
    <t>DESARROLLO:</t>
  </si>
  <si>
    <t>LARGO TIRO,CINTURA,ENTREPIERNA</t>
  </si>
  <si>
    <t>9% ELASTANO</t>
  </si>
  <si>
    <t>91% POLIAMIDA</t>
  </si>
  <si>
    <t>COMPOSICION  ETIQUETA:</t>
  </si>
  <si>
    <t>LICRA:</t>
  </si>
  <si>
    <t>MIAMI   20/40/24</t>
  </si>
  <si>
    <t>NYLON:</t>
  </si>
  <si>
    <t>S038T</t>
  </si>
  <si>
    <t>MAQUINA</t>
  </si>
  <si>
    <t>PESO LIENSO X 2 PZAS</t>
  </si>
  <si>
    <t>8.24 x 2= 16.48</t>
  </si>
  <si>
    <t xml:space="preserve">               TIEMPO</t>
  </si>
  <si>
    <t xml:space="preserve">          PESO   PRETINA</t>
  </si>
  <si>
    <t xml:space="preserve">                      0.39  grs</t>
  </si>
  <si>
    <t xml:space="preserve">   174 x 2 LIENSOS =348 grs</t>
  </si>
  <si>
    <t>LARGO TIRO,COSTADOS,ENTREPIERNA Y PRETINA</t>
  </si>
  <si>
    <t>TRANSFER</t>
  </si>
  <si>
    <t>MEDIANA</t>
  </si>
  <si>
    <t>GRANDE</t>
  </si>
  <si>
    <t>CIXING 14"</t>
  </si>
  <si>
    <t>S038T38G</t>
  </si>
  <si>
    <t>TOP2V 15"</t>
  </si>
  <si>
    <t>#6</t>
  </si>
  <si>
    <r>
      <rPr>
        <b/>
        <sz val="11"/>
        <color theme="0"/>
        <rFont val="Consolas"/>
        <family val="3"/>
      </rPr>
      <t>G</t>
    </r>
    <r>
      <rPr>
        <b/>
        <sz val="10"/>
        <color theme="0"/>
        <rFont val="Consolas"/>
        <family val="3"/>
      </rPr>
      <t>.</t>
    </r>
    <r>
      <rPr>
        <b/>
        <sz val="14"/>
        <color theme="0"/>
        <rFont val="Consolas"/>
        <family val="3"/>
      </rPr>
      <t>HILO</t>
    </r>
  </si>
  <si>
    <t>S038T31M</t>
  </si>
  <si>
    <t>S038P31C</t>
  </si>
  <si>
    <t>S038P38M</t>
  </si>
  <si>
    <t>S038P39G</t>
  </si>
  <si>
    <t>TOP2V 16"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</si>
</sst>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8"/>
      <name val="Calibri"/>
      <family val="2"/>
    </font>
    <font>
      <b/>
      <sz val="18"/>
      <name val="Consolas"/>
      <family val="3"/>
    </font>
    <font>
      <b/>
      <sz val="11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11"/>
      <color theme="1"/>
      <name val="Arial Black"/>
      <family val="2"/>
    </font>
    <font>
      <b/>
      <sz val="16"/>
      <color theme="1"/>
      <name val="Arial Black"/>
      <family val="2"/>
    </font>
    <font>
      <sz val="11"/>
      <color theme="1"/>
      <name val="Arial Black"/>
      <family val="2"/>
    </font>
    <font>
      <b/>
      <sz val="26"/>
      <name val="Consolas"/>
      <family val="3"/>
    </font>
    <font>
      <b/>
      <sz val="16"/>
      <color theme="0"/>
      <name val="Consolas"/>
      <family val="3"/>
    </font>
    <font>
      <b/>
      <sz val="26"/>
      <color theme="0"/>
      <name val="Consolas"/>
      <family val="3"/>
    </font>
    <font>
      <b/>
      <sz val="14"/>
      <color theme="0"/>
      <name val="Consolas"/>
      <family val="3"/>
    </font>
    <font>
      <b/>
      <sz val="24"/>
      <color theme="0"/>
      <name val="Consolas"/>
      <family val="3"/>
    </font>
    <font>
      <b/>
      <sz val="11"/>
      <color theme="0"/>
      <name val="Consolas"/>
      <family val="3"/>
    </font>
    <font>
      <b/>
      <sz val="10"/>
      <color theme="0"/>
      <name val="Consolas"/>
      <family val="3"/>
    </font>
    <font>
      <sz val="18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darkGrid">
        <fgColor theme="0"/>
        <bgColor theme="0"/>
      </patternFill>
    </fill>
    <fill>
      <patternFill patternType="solid">
        <fgColor theme="5" tint="-0.249977111117893"/>
        <bgColor theme="0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9" fillId="0" borderId="0" applyFont="0" applyFill="0" applyBorder="0" applyAlignment="0" applyProtection="0"/>
  </cellStyleXfs>
  <cellXfs count="158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0" borderId="0" xfId="0" applyFont="1"/>
    <xf numFmtId="0" fontId="2" fillId="4" borderId="0" xfId="0" applyFont="1" applyFill="1" applyAlignment="1">
      <alignment vertical="center" wrapText="1"/>
    </xf>
    <xf numFmtId="0" fontId="15" fillId="0" borderId="0" xfId="0" applyFont="1"/>
    <xf numFmtId="0" fontId="16" fillId="0" borderId="0" xfId="0" applyFont="1"/>
    <xf numFmtId="0" fontId="3" fillId="0" borderId="0" xfId="0" applyFont="1"/>
    <xf numFmtId="0" fontId="17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/>
    <xf numFmtId="0" fontId="20" fillId="2" borderId="5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1" fontId="6" fillId="10" borderId="5" xfId="0" applyNumberFormat="1" applyFont="1" applyFill="1" applyBorder="1" applyAlignment="1">
      <alignment horizontal="center" vertical="center" wrapText="1"/>
    </xf>
    <xf numFmtId="1" fontId="6" fillId="10" borderId="1" xfId="0" applyNumberFormat="1" applyFont="1" applyFill="1" applyBorder="1" applyAlignment="1">
      <alignment horizontal="center" vertical="center" wrapText="1"/>
    </xf>
    <xf numFmtId="1" fontId="6" fillId="10" borderId="6" xfId="0" applyNumberFormat="1" applyFont="1" applyFill="1" applyBorder="1" applyAlignment="1">
      <alignment horizontal="center" vertical="center" wrapText="1"/>
    </xf>
    <xf numFmtId="1" fontId="6" fillId="10" borderId="3" xfId="0" applyNumberFormat="1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right" vertical="center" wrapText="1"/>
    </xf>
    <xf numFmtId="0" fontId="21" fillId="2" borderId="2" xfId="0" applyFont="1" applyFill="1" applyBorder="1" applyAlignment="1">
      <alignment horizontal="right" vertical="center" wrapText="1"/>
    </xf>
    <xf numFmtId="0" fontId="21" fillId="2" borderId="6" xfId="0" applyFont="1" applyFill="1" applyBorder="1" applyAlignment="1">
      <alignment horizontal="right" vertical="center" wrapText="1"/>
    </xf>
    <xf numFmtId="0" fontId="21" fillId="2" borderId="4" xfId="0" applyFont="1" applyFill="1" applyBorder="1" applyAlignment="1">
      <alignment horizontal="right" vertical="center" wrapText="1"/>
    </xf>
    <xf numFmtId="0" fontId="21" fillId="2" borderId="5" xfId="0" applyFont="1" applyFill="1" applyBorder="1" applyAlignment="1">
      <alignment horizontal="right" vertical="center"/>
    </xf>
    <xf numFmtId="0" fontId="21" fillId="2" borderId="2" xfId="0" applyFont="1" applyFill="1" applyBorder="1" applyAlignment="1">
      <alignment horizontal="right" vertical="center"/>
    </xf>
    <xf numFmtId="0" fontId="21" fillId="2" borderId="6" xfId="0" applyFont="1" applyFill="1" applyBorder="1" applyAlignment="1">
      <alignment horizontal="right" vertical="center"/>
    </xf>
    <xf numFmtId="0" fontId="21" fillId="2" borderId="4" xfId="0" applyFont="1" applyFill="1" applyBorder="1" applyAlignment="1">
      <alignment horizontal="right" vertical="center"/>
    </xf>
    <xf numFmtId="0" fontId="7" fillId="10" borderId="2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21" fillId="11" borderId="7" xfId="0" applyFont="1" applyFill="1" applyBorder="1" applyAlignment="1">
      <alignment horizontal="center" vertical="center" wrapText="1"/>
    </xf>
    <xf numFmtId="0" fontId="21" fillId="11" borderId="4" xfId="0" applyFont="1" applyFill="1" applyBorder="1" applyAlignment="1">
      <alignment horizontal="center" vertical="center" wrapText="1"/>
    </xf>
    <xf numFmtId="45" fontId="11" fillId="10" borderId="5" xfId="0" applyNumberFormat="1" applyFont="1" applyFill="1" applyBorder="1" applyAlignment="1">
      <alignment horizontal="center" vertical="center" wrapText="1"/>
    </xf>
    <xf numFmtId="45" fontId="11" fillId="10" borderId="1" xfId="0" applyNumberFormat="1" applyFont="1" applyFill="1" applyBorder="1" applyAlignment="1">
      <alignment horizontal="center" vertical="center" wrapText="1"/>
    </xf>
    <xf numFmtId="45" fontId="11" fillId="10" borderId="6" xfId="0" applyNumberFormat="1" applyFont="1" applyFill="1" applyBorder="1" applyAlignment="1">
      <alignment horizontal="center" vertical="center" wrapText="1"/>
    </xf>
    <xf numFmtId="45" fontId="11" fillId="10" borderId="3" xfId="0" applyNumberFormat="1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45" fontId="6" fillId="10" borderId="5" xfId="0" applyNumberFormat="1" applyFont="1" applyFill="1" applyBorder="1" applyAlignment="1">
      <alignment horizontal="center" vertical="center" wrapText="1"/>
    </xf>
    <xf numFmtId="45" fontId="6" fillId="10" borderId="1" xfId="0" applyNumberFormat="1" applyFont="1" applyFill="1" applyBorder="1" applyAlignment="1">
      <alignment horizontal="center" vertical="center" wrapText="1"/>
    </xf>
    <xf numFmtId="45" fontId="6" fillId="10" borderId="6" xfId="0" applyNumberFormat="1" applyFont="1" applyFill="1" applyBorder="1" applyAlignment="1">
      <alignment horizontal="center" vertical="center" wrapText="1"/>
    </xf>
    <xf numFmtId="45" fontId="6" fillId="10" borderId="3" xfId="0" applyNumberFormat="1" applyFont="1" applyFill="1" applyBorder="1" applyAlignment="1">
      <alignment horizontal="center" vertical="center" wrapText="1"/>
    </xf>
    <xf numFmtId="49" fontId="11" fillId="10" borderId="10" xfId="0" applyNumberFormat="1" applyFont="1" applyFill="1" applyBorder="1" applyAlignment="1">
      <alignment horizontal="center" vertical="center" wrapText="1"/>
    </xf>
    <xf numFmtId="49" fontId="11" fillId="10" borderId="2" xfId="0" applyNumberFormat="1" applyFont="1" applyFill="1" applyBorder="1" applyAlignment="1">
      <alignment horizontal="center" vertical="center" wrapText="1"/>
    </xf>
    <xf numFmtId="49" fontId="11" fillId="10" borderId="7" xfId="0" applyNumberFormat="1" applyFont="1" applyFill="1" applyBorder="1" applyAlignment="1">
      <alignment horizontal="center" vertical="center" wrapText="1"/>
    </xf>
    <xf numFmtId="49" fontId="11" fillId="10" borderId="4" xfId="0" applyNumberFormat="1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49" fontId="8" fillId="10" borderId="10" xfId="0" applyNumberFormat="1" applyFont="1" applyFill="1" applyBorder="1" applyAlignment="1">
      <alignment horizontal="center" vertical="center" wrapText="1"/>
    </xf>
    <xf numFmtId="49" fontId="8" fillId="10" borderId="2" xfId="0" applyNumberFormat="1" applyFont="1" applyFill="1" applyBorder="1" applyAlignment="1">
      <alignment horizontal="center" vertical="center" wrapText="1"/>
    </xf>
    <xf numFmtId="49" fontId="8" fillId="10" borderId="7" xfId="0" applyNumberFormat="1" applyFont="1" applyFill="1" applyBorder="1" applyAlignment="1">
      <alignment horizontal="center" vertical="center" wrapText="1"/>
    </xf>
    <xf numFmtId="49" fontId="8" fillId="10" borderId="4" xfId="0" applyNumberFormat="1" applyFont="1" applyFill="1" applyBorder="1" applyAlignment="1">
      <alignment horizontal="center" vertical="center" wrapText="1"/>
    </xf>
    <xf numFmtId="9" fontId="19" fillId="5" borderId="5" xfId="3" applyNumberFormat="1" applyFont="1" applyFill="1" applyBorder="1" applyAlignment="1">
      <alignment horizontal="center" vertical="center" wrapText="1"/>
    </xf>
    <xf numFmtId="9" fontId="19" fillId="5" borderId="2" xfId="3" applyNumberFormat="1" applyFont="1" applyFill="1" applyBorder="1" applyAlignment="1">
      <alignment horizontal="center" vertical="center" wrapText="1"/>
    </xf>
    <xf numFmtId="9" fontId="19" fillId="5" borderId="6" xfId="3" applyNumberFormat="1" applyFont="1" applyFill="1" applyBorder="1" applyAlignment="1">
      <alignment horizontal="center" vertical="center" wrapText="1"/>
    </xf>
    <xf numFmtId="9" fontId="19" fillId="5" borderId="4" xfId="3" applyNumberFormat="1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22" fillId="12" borderId="8" xfId="0" applyFont="1" applyFill="1" applyBorder="1" applyAlignment="1">
      <alignment horizontal="center" vertical="center" wrapText="1"/>
    </xf>
    <xf numFmtId="0" fontId="22" fillId="12" borderId="0" xfId="0" applyFont="1" applyFill="1" applyAlignment="1">
      <alignment horizontal="center" vertical="center" wrapText="1"/>
    </xf>
    <xf numFmtId="0" fontId="22" fillId="12" borderId="9" xfId="0" applyFont="1" applyFill="1" applyBorder="1" applyAlignment="1">
      <alignment horizontal="center" vertical="center" wrapText="1"/>
    </xf>
    <xf numFmtId="0" fontId="22" fillId="12" borderId="6" xfId="0" applyFont="1" applyFill="1" applyBorder="1" applyAlignment="1">
      <alignment horizontal="center" vertical="center" wrapText="1"/>
    </xf>
    <xf numFmtId="0" fontId="22" fillId="12" borderId="3" xfId="0" applyFont="1" applyFill="1" applyBorder="1" applyAlignment="1">
      <alignment horizontal="center" vertical="center" wrapText="1"/>
    </xf>
    <xf numFmtId="0" fontId="22" fillId="12" borderId="4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46" fontId="7" fillId="10" borderId="2" xfId="0" applyNumberFormat="1" applyFont="1" applyFill="1" applyBorder="1" applyAlignment="1">
      <alignment horizontal="center" vertical="center" wrapText="1"/>
    </xf>
    <xf numFmtId="46" fontId="7" fillId="10" borderId="4" xfId="0" applyNumberFormat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20" fontId="15" fillId="0" borderId="0" xfId="0" applyNumberFormat="1" applyFont="1" applyAlignment="1">
      <alignment horizontal="center"/>
    </xf>
    <xf numFmtId="0" fontId="20" fillId="6" borderId="5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247651</xdr:colOff>
      <xdr:row>3</xdr:row>
      <xdr:rowOff>19049</xdr:rowOff>
    </xdr:from>
    <xdr:to>
      <xdr:col>3</xdr:col>
      <xdr:colOff>447675</xdr:colOff>
      <xdr:row>17</xdr:row>
      <xdr:rowOff>110171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81D8EED-E6C0-4296-8041-3F6A3586A7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930" r="24154"/>
        <a:stretch/>
      </xdr:blipFill>
      <xdr:spPr bwMode="auto">
        <a:xfrm>
          <a:off x="285751" y="361949"/>
          <a:ext cx="1000124" cy="2519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266701</xdr:colOff>
      <xdr:row>30</xdr:row>
      <xdr:rowOff>19049</xdr:rowOff>
    </xdr:from>
    <xdr:ext cx="1005505" cy="2438401"/>
    <xdr:pic>
      <xdr:nvPicPr>
        <xdr:cNvPr id="3" name="Imagen 2">
          <a:extLst>
            <a:ext uri="{FF2B5EF4-FFF2-40B4-BE49-F238E27FC236}">
              <a16:creationId xmlns:a16="http://schemas.microsoft.com/office/drawing/2014/main" id="{F63C48C2-40BB-4CAF-9B92-4BBDA6EBBD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930" r="24154"/>
        <a:stretch/>
      </xdr:blipFill>
      <xdr:spPr bwMode="auto">
        <a:xfrm>
          <a:off x="304801" y="5191124"/>
          <a:ext cx="1005505" cy="2438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257176</xdr:colOff>
      <xdr:row>57</xdr:row>
      <xdr:rowOff>19049</xdr:rowOff>
    </xdr:from>
    <xdr:ext cx="1012184" cy="2454598"/>
    <xdr:pic>
      <xdr:nvPicPr>
        <xdr:cNvPr id="7" name="Imagen 6">
          <a:extLst>
            <a:ext uri="{FF2B5EF4-FFF2-40B4-BE49-F238E27FC236}">
              <a16:creationId xmlns:a16="http://schemas.microsoft.com/office/drawing/2014/main" id="{02C0AB08-6A68-4104-9D3E-5F11D42B52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930" r="24154"/>
        <a:stretch/>
      </xdr:blipFill>
      <xdr:spPr bwMode="auto">
        <a:xfrm>
          <a:off x="295276" y="10020299"/>
          <a:ext cx="1012184" cy="2454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16</xdr:row>
      <xdr:rowOff>19050</xdr:rowOff>
    </xdr:from>
    <xdr:to>
      <xdr:col>6</xdr:col>
      <xdr:colOff>604500</xdr:colOff>
      <xdr:row>34</xdr:row>
      <xdr:rowOff>47175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F296DB-1650-224E-6050-D73CA35F0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3800475"/>
          <a:ext cx="2700000" cy="36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247651</xdr:colOff>
      <xdr:row>3</xdr:row>
      <xdr:rowOff>19049</xdr:rowOff>
    </xdr:from>
    <xdr:to>
      <xdr:col>3</xdr:col>
      <xdr:colOff>447675</xdr:colOff>
      <xdr:row>17</xdr:row>
      <xdr:rowOff>110171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6AFF91-CADE-4C7D-8514-37B3B1F27E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930" r="24154"/>
        <a:stretch/>
      </xdr:blipFill>
      <xdr:spPr bwMode="auto">
        <a:xfrm>
          <a:off x="285751" y="447674"/>
          <a:ext cx="1000124" cy="2519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266701</xdr:colOff>
      <xdr:row>30</xdr:row>
      <xdr:rowOff>19049</xdr:rowOff>
    </xdr:from>
    <xdr:ext cx="1005505" cy="2438401"/>
    <xdr:pic>
      <xdr:nvPicPr>
        <xdr:cNvPr id="3" name="Imagen 2">
          <a:extLst>
            <a:ext uri="{FF2B5EF4-FFF2-40B4-BE49-F238E27FC236}">
              <a16:creationId xmlns:a16="http://schemas.microsoft.com/office/drawing/2014/main" id="{0CA77E08-D271-41F6-A120-D15A69EEB1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930" r="24154"/>
        <a:stretch/>
      </xdr:blipFill>
      <xdr:spPr bwMode="auto">
        <a:xfrm>
          <a:off x="304801" y="5172074"/>
          <a:ext cx="1005505" cy="2438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257176</xdr:colOff>
      <xdr:row>57</xdr:row>
      <xdr:rowOff>19049</xdr:rowOff>
    </xdr:from>
    <xdr:ext cx="1012184" cy="2454598"/>
    <xdr:pic>
      <xdr:nvPicPr>
        <xdr:cNvPr id="4" name="Imagen 3">
          <a:extLst>
            <a:ext uri="{FF2B5EF4-FFF2-40B4-BE49-F238E27FC236}">
              <a16:creationId xmlns:a16="http://schemas.microsoft.com/office/drawing/2014/main" id="{4FF888DC-E796-4D8D-B396-0F26973BC3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930" r="24154"/>
        <a:stretch/>
      </xdr:blipFill>
      <xdr:spPr bwMode="auto">
        <a:xfrm>
          <a:off x="295276" y="9896474"/>
          <a:ext cx="1012184" cy="2454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39"/>
  <sheetViews>
    <sheetView showGridLines="0" tabSelected="1" zoomScaleNormal="100" zoomScaleSheetLayoutView="55" zoomScalePageLayoutView="55" workbookViewId="0">
      <selection activeCell="M66" sqref="M66:O6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6.28515625" customWidth="1"/>
    <col min="16" max="16" width="0.5703125" customWidth="1"/>
  </cols>
  <sheetData>
    <row r="1" spans="2:15" ht="2.1" customHeight="1" thickBot="1" x14ac:dyDescent="0.3"/>
    <row r="2" spans="2:15" ht="14.1" customHeight="1" x14ac:dyDescent="0.25">
      <c r="B2" s="144" t="s">
        <v>16</v>
      </c>
      <c r="C2" s="145"/>
      <c r="D2" s="146"/>
      <c r="E2" s="19" t="s">
        <v>1</v>
      </c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2:15" ht="14.1" customHeight="1" thickBot="1" x14ac:dyDescent="0.3">
      <c r="B3" s="147"/>
      <c r="C3" s="148"/>
      <c r="D3" s="149"/>
      <c r="E3" s="22"/>
      <c r="F3" s="23"/>
      <c r="G3" s="23"/>
      <c r="H3" s="23"/>
      <c r="I3" s="23"/>
      <c r="J3" s="23"/>
      <c r="K3" s="23"/>
      <c r="L3" s="23"/>
      <c r="M3" s="23"/>
      <c r="N3" s="23"/>
      <c r="O3" s="24"/>
    </row>
    <row r="4" spans="2:15" ht="12.95" customHeight="1" x14ac:dyDescent="0.25">
      <c r="B4" s="1"/>
      <c r="C4" s="8"/>
      <c r="D4" s="4"/>
      <c r="E4" s="103" t="s">
        <v>25</v>
      </c>
      <c r="F4" s="104"/>
      <c r="G4" s="104"/>
      <c r="H4" s="104"/>
      <c r="I4" s="104"/>
      <c r="J4" s="104"/>
      <c r="K4" s="104"/>
      <c r="L4" s="104"/>
      <c r="M4" s="104"/>
      <c r="N4" s="104"/>
      <c r="O4" s="105"/>
    </row>
    <row r="5" spans="2:15" ht="12.95" customHeight="1" x14ac:dyDescent="0.25">
      <c r="B5" s="1"/>
      <c r="C5" s="8"/>
      <c r="D5" s="5"/>
      <c r="E5" s="106"/>
      <c r="F5" s="107"/>
      <c r="G5" s="107"/>
      <c r="H5" s="107"/>
      <c r="I5" s="107"/>
      <c r="J5" s="107"/>
      <c r="K5" s="107"/>
      <c r="L5" s="107"/>
      <c r="M5" s="107"/>
      <c r="N5" s="107"/>
      <c r="O5" s="108"/>
    </row>
    <row r="6" spans="2:15" ht="3.75" customHeight="1" x14ac:dyDescent="0.25">
      <c r="B6" s="1"/>
      <c r="C6" s="8"/>
      <c r="D6" s="5"/>
      <c r="E6" s="106"/>
      <c r="F6" s="107"/>
      <c r="G6" s="107"/>
      <c r="H6" s="107"/>
      <c r="I6" s="107"/>
      <c r="J6" s="107"/>
      <c r="K6" s="107"/>
      <c r="L6" s="107"/>
      <c r="M6" s="107"/>
      <c r="N6" s="107"/>
      <c r="O6" s="108"/>
    </row>
    <row r="7" spans="2:15" ht="4.5" customHeight="1" thickBot="1" x14ac:dyDescent="0.3">
      <c r="B7" s="1"/>
      <c r="C7" s="8"/>
      <c r="D7" s="5"/>
      <c r="E7" s="109"/>
      <c r="F7" s="110"/>
      <c r="G7" s="110"/>
      <c r="H7" s="110"/>
      <c r="I7" s="110"/>
      <c r="J7" s="110"/>
      <c r="K7" s="110"/>
      <c r="L7" s="110"/>
      <c r="M7" s="110"/>
      <c r="N7" s="110"/>
      <c r="O7" s="111"/>
    </row>
    <row r="8" spans="2:15" ht="15.95" customHeight="1" x14ac:dyDescent="0.25">
      <c r="B8" s="1"/>
      <c r="C8" s="8"/>
      <c r="D8" s="5"/>
      <c r="E8" s="29" t="s">
        <v>3</v>
      </c>
      <c r="F8" s="30"/>
      <c r="G8" s="51" t="s">
        <v>26</v>
      </c>
      <c r="H8" s="52"/>
      <c r="I8" s="52"/>
      <c r="J8" s="52"/>
      <c r="K8" s="52"/>
      <c r="L8" s="52"/>
      <c r="M8" s="52"/>
      <c r="N8" s="52"/>
      <c r="O8" s="53"/>
    </row>
    <row r="9" spans="2:15" ht="15.95" customHeight="1" thickBot="1" x14ac:dyDescent="0.3">
      <c r="B9" s="1"/>
      <c r="C9" s="8"/>
      <c r="D9" s="5"/>
      <c r="E9" s="31"/>
      <c r="F9" s="32"/>
      <c r="G9" s="54"/>
      <c r="H9" s="55"/>
      <c r="I9" s="55"/>
      <c r="J9" s="55"/>
      <c r="K9" s="55"/>
      <c r="L9" s="55"/>
      <c r="M9" s="55"/>
      <c r="N9" s="55"/>
      <c r="O9" s="56"/>
    </row>
    <row r="10" spans="2:15" ht="15.95" customHeight="1" x14ac:dyDescent="0.25">
      <c r="B10" s="1"/>
      <c r="C10" s="8"/>
      <c r="D10" s="5"/>
      <c r="E10" s="29" t="s">
        <v>2</v>
      </c>
      <c r="F10" s="30"/>
      <c r="G10" s="39" t="s">
        <v>14</v>
      </c>
      <c r="H10" s="40"/>
      <c r="I10" s="41"/>
      <c r="J10" s="140"/>
      <c r="K10" s="141"/>
      <c r="L10" s="37"/>
      <c r="M10" s="45" t="s">
        <v>27</v>
      </c>
      <c r="N10" s="46"/>
      <c r="O10" s="47"/>
    </row>
    <row r="11" spans="2:15" ht="15.95" customHeight="1" thickBot="1" x14ac:dyDescent="0.3">
      <c r="B11" s="1"/>
      <c r="C11" s="8"/>
      <c r="D11" s="5"/>
      <c r="E11" s="31"/>
      <c r="F11" s="32"/>
      <c r="G11" s="42"/>
      <c r="H11" s="43"/>
      <c r="I11" s="44"/>
      <c r="J11" s="142"/>
      <c r="K11" s="143"/>
      <c r="L11" s="38"/>
      <c r="M11" s="48"/>
      <c r="N11" s="49"/>
      <c r="O11" s="50"/>
    </row>
    <row r="12" spans="2:15" ht="15.95" customHeight="1" x14ac:dyDescent="0.25">
      <c r="B12" s="1"/>
      <c r="C12" s="8"/>
      <c r="D12" s="5"/>
      <c r="E12" s="33" t="s">
        <v>4</v>
      </c>
      <c r="F12" s="34"/>
      <c r="G12" s="39" t="s">
        <v>17</v>
      </c>
      <c r="H12" s="40"/>
      <c r="I12" s="41"/>
      <c r="J12" s="112" t="s">
        <v>15</v>
      </c>
      <c r="K12" s="113"/>
      <c r="L12" s="114"/>
      <c r="M12" s="39" t="s">
        <v>65</v>
      </c>
      <c r="N12" s="40"/>
      <c r="O12" s="41"/>
    </row>
    <row r="13" spans="2:15" ht="15.95" customHeight="1" thickBot="1" x14ac:dyDescent="0.3">
      <c r="B13" s="1"/>
      <c r="C13" s="8"/>
      <c r="D13" s="5"/>
      <c r="E13" s="35"/>
      <c r="F13" s="36"/>
      <c r="G13" s="42"/>
      <c r="H13" s="43"/>
      <c r="I13" s="44"/>
      <c r="J13" s="115"/>
      <c r="K13" s="116"/>
      <c r="L13" s="117"/>
      <c r="M13" s="42"/>
      <c r="N13" s="43"/>
      <c r="O13" s="44"/>
    </row>
    <row r="14" spans="2:15" ht="15.95" customHeight="1" x14ac:dyDescent="0.25">
      <c r="B14" s="1"/>
      <c r="C14" s="8"/>
      <c r="D14" s="5"/>
      <c r="E14" s="29" t="s">
        <v>13</v>
      </c>
      <c r="F14" s="30"/>
      <c r="G14" s="25">
        <f>170*110%</f>
        <v>187.00000000000003</v>
      </c>
      <c r="H14" s="26"/>
      <c r="I14" s="37" t="s">
        <v>5</v>
      </c>
      <c r="J14" s="25"/>
      <c r="K14" s="26"/>
      <c r="L14" s="37" t="s">
        <v>5</v>
      </c>
      <c r="M14" s="25">
        <f>33*110%</f>
        <v>36.300000000000004</v>
      </c>
      <c r="N14" s="26"/>
      <c r="O14" s="37" t="s">
        <v>5</v>
      </c>
    </row>
    <row r="15" spans="2:15" ht="15.95" customHeight="1" thickBot="1" x14ac:dyDescent="0.3">
      <c r="B15" s="1"/>
      <c r="C15" s="8"/>
      <c r="D15" s="5"/>
      <c r="E15" s="31"/>
      <c r="F15" s="32"/>
      <c r="G15" s="27"/>
      <c r="H15" s="28"/>
      <c r="I15" s="38"/>
      <c r="J15" s="27"/>
      <c r="K15" s="28"/>
      <c r="L15" s="38"/>
      <c r="M15" s="27"/>
      <c r="N15" s="28"/>
      <c r="O15" s="38"/>
    </row>
    <row r="16" spans="2:15" ht="15.95" customHeight="1" x14ac:dyDescent="0.25">
      <c r="B16" s="1"/>
      <c r="C16" s="8"/>
      <c r="D16" s="5"/>
      <c r="E16" s="29" t="s">
        <v>6</v>
      </c>
      <c r="F16" s="30"/>
      <c r="G16" s="75">
        <v>5.9027777777777776E-3</v>
      </c>
      <c r="H16" s="76"/>
      <c r="I16" s="122" t="s">
        <v>7</v>
      </c>
      <c r="J16" s="67"/>
      <c r="K16" s="68"/>
      <c r="L16" s="122" t="s">
        <v>7</v>
      </c>
      <c r="M16" s="75">
        <v>1.7592592592592592E-3</v>
      </c>
      <c r="N16" s="76"/>
      <c r="O16" s="122" t="s">
        <v>7</v>
      </c>
    </row>
    <row r="17" spans="1:15" ht="15.95" customHeight="1" thickBot="1" x14ac:dyDescent="0.3">
      <c r="B17" s="2"/>
      <c r="C17" s="3"/>
      <c r="D17" s="6"/>
      <c r="E17" s="31"/>
      <c r="F17" s="32"/>
      <c r="G17" s="77"/>
      <c r="H17" s="78"/>
      <c r="I17" s="123"/>
      <c r="J17" s="69"/>
      <c r="K17" s="70"/>
      <c r="L17" s="123"/>
      <c r="M17" s="77"/>
      <c r="N17" s="78"/>
      <c r="O17" s="123"/>
    </row>
    <row r="18" spans="1:15" s="18" customFormat="1" ht="12" customHeight="1" x14ac:dyDescent="0.35">
      <c r="B18" s="124"/>
      <c r="C18" s="125"/>
      <c r="D18" s="125"/>
      <c r="E18" s="125" t="s">
        <v>10</v>
      </c>
      <c r="F18" s="125"/>
      <c r="G18" s="125"/>
      <c r="H18" s="125"/>
      <c r="I18" s="125"/>
      <c r="J18" s="125"/>
      <c r="K18" s="125"/>
      <c r="L18" s="125"/>
      <c r="M18" s="125"/>
      <c r="N18" s="125"/>
      <c r="O18" s="128"/>
    </row>
    <row r="19" spans="1:15" s="18" customFormat="1" ht="12" customHeight="1" thickBot="1" x14ac:dyDescent="0.4">
      <c r="B19" s="126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9"/>
    </row>
    <row r="20" spans="1:15" ht="8.25" customHeight="1" x14ac:dyDescent="0.25">
      <c r="B20" s="71" t="s">
        <v>12</v>
      </c>
      <c r="C20" s="72"/>
      <c r="D20" s="72"/>
      <c r="E20" s="72"/>
      <c r="F20" s="101"/>
      <c r="G20" s="71" t="s">
        <v>28</v>
      </c>
      <c r="H20" s="72"/>
      <c r="I20" s="72"/>
      <c r="J20" s="71"/>
      <c r="K20" s="72"/>
      <c r="L20" s="72"/>
      <c r="M20" s="71" t="s">
        <v>59</v>
      </c>
      <c r="N20" s="72"/>
      <c r="O20" s="72"/>
    </row>
    <row r="21" spans="1:15" ht="23.1" customHeight="1" thickBot="1" x14ac:dyDescent="0.3">
      <c r="B21" s="73"/>
      <c r="C21" s="74"/>
      <c r="D21" s="74"/>
      <c r="E21" s="74"/>
      <c r="F21" s="102"/>
      <c r="G21" s="73"/>
      <c r="H21" s="74"/>
      <c r="I21" s="74"/>
      <c r="J21" s="73"/>
      <c r="K21" s="74"/>
      <c r="L21" s="74"/>
      <c r="M21" s="73"/>
      <c r="N21" s="74"/>
      <c r="O21" s="74"/>
    </row>
    <row r="22" spans="1:15" ht="14.1" customHeight="1" x14ac:dyDescent="0.25">
      <c r="B22" s="57" t="s">
        <v>9</v>
      </c>
      <c r="C22" s="58"/>
      <c r="D22" s="118" t="s">
        <v>8</v>
      </c>
      <c r="E22" s="118"/>
      <c r="F22" s="119"/>
      <c r="G22" s="61" t="s">
        <v>63</v>
      </c>
      <c r="H22" s="63" t="s">
        <v>11</v>
      </c>
      <c r="I22" s="64"/>
      <c r="J22" s="61"/>
      <c r="K22" s="63"/>
      <c r="L22" s="64"/>
      <c r="M22" s="61" t="s">
        <v>63</v>
      </c>
      <c r="N22" s="63" t="s">
        <v>11</v>
      </c>
      <c r="O22" s="64"/>
    </row>
    <row r="23" spans="1:15" ht="14.1" customHeight="1" thickBot="1" x14ac:dyDescent="0.3">
      <c r="B23" s="59"/>
      <c r="C23" s="60"/>
      <c r="D23" s="120"/>
      <c r="E23" s="120"/>
      <c r="F23" s="121"/>
      <c r="G23" s="62"/>
      <c r="H23" s="65"/>
      <c r="I23" s="66"/>
      <c r="J23" s="62"/>
      <c r="K23" s="65"/>
      <c r="L23" s="66"/>
      <c r="M23" s="62"/>
      <c r="N23" s="65"/>
      <c r="O23" s="66"/>
    </row>
    <row r="24" spans="1:15" ht="14.1" customHeight="1" x14ac:dyDescent="0.25">
      <c r="B24" s="97">
        <v>0.4</v>
      </c>
      <c r="C24" s="98"/>
      <c r="D24" s="87" t="s">
        <v>19</v>
      </c>
      <c r="E24" s="87"/>
      <c r="F24" s="88"/>
      <c r="G24" s="89" t="s">
        <v>22</v>
      </c>
      <c r="H24" s="79" t="s">
        <v>24</v>
      </c>
      <c r="I24" s="80"/>
      <c r="J24" s="91"/>
      <c r="K24" s="93"/>
      <c r="L24" s="94"/>
      <c r="M24" s="89" t="s">
        <v>22</v>
      </c>
      <c r="N24" s="79" t="s">
        <v>24</v>
      </c>
      <c r="O24" s="80"/>
    </row>
    <row r="25" spans="1:15" ht="14.1" customHeight="1" thickBot="1" x14ac:dyDescent="0.3">
      <c r="B25" s="99"/>
      <c r="C25" s="100"/>
      <c r="D25" s="84" t="s">
        <v>18</v>
      </c>
      <c r="E25" s="84"/>
      <c r="F25" s="85"/>
      <c r="G25" s="90"/>
      <c r="H25" s="81"/>
      <c r="I25" s="82"/>
      <c r="J25" s="92"/>
      <c r="K25" s="95"/>
      <c r="L25" s="96"/>
      <c r="M25" s="90"/>
      <c r="N25" s="81"/>
      <c r="O25" s="82"/>
    </row>
    <row r="26" spans="1:15" ht="14.1" customHeight="1" x14ac:dyDescent="0.25">
      <c r="B26" s="97">
        <v>0.6</v>
      </c>
      <c r="C26" s="98"/>
      <c r="D26" s="86" t="s">
        <v>20</v>
      </c>
      <c r="E26" s="87"/>
      <c r="F26" s="88"/>
      <c r="G26" s="89" t="s">
        <v>23</v>
      </c>
      <c r="H26" s="79" t="s">
        <v>24</v>
      </c>
      <c r="I26" s="80"/>
      <c r="J26" s="91"/>
      <c r="K26" s="93"/>
      <c r="L26" s="94"/>
      <c r="M26" s="89" t="s">
        <v>23</v>
      </c>
      <c r="N26" s="79" t="s">
        <v>24</v>
      </c>
      <c r="O26" s="80"/>
    </row>
    <row r="27" spans="1:15" ht="14.1" customHeight="1" thickBot="1" x14ac:dyDescent="0.3">
      <c r="B27" s="99"/>
      <c r="C27" s="100"/>
      <c r="D27" s="83" t="s">
        <v>21</v>
      </c>
      <c r="E27" s="84"/>
      <c r="F27" s="85"/>
      <c r="G27" s="90"/>
      <c r="H27" s="81"/>
      <c r="I27" s="82"/>
      <c r="J27" s="92"/>
      <c r="K27" s="95"/>
      <c r="L27" s="96"/>
      <c r="M27" s="90"/>
      <c r="N27" s="81"/>
      <c r="O27" s="82"/>
    </row>
    <row r="28" spans="1:15" ht="2.1" customHeight="1" thickBot="1" x14ac:dyDescent="0.3">
      <c r="A28" t="s"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4.1" customHeight="1" x14ac:dyDescent="0.25">
      <c r="B29" s="144" t="s">
        <v>16</v>
      </c>
      <c r="C29" s="145"/>
      <c r="D29" s="146"/>
      <c r="E29" s="19" t="s">
        <v>1</v>
      </c>
      <c r="F29" s="20"/>
      <c r="G29" s="20"/>
      <c r="H29" s="20"/>
      <c r="I29" s="20"/>
      <c r="J29" s="20"/>
      <c r="K29" s="20"/>
      <c r="L29" s="20"/>
      <c r="M29" s="20"/>
      <c r="N29" s="20"/>
      <c r="O29" s="21"/>
    </row>
    <row r="30" spans="1:15" ht="14.1" customHeight="1" thickBot="1" x14ac:dyDescent="0.3">
      <c r="B30" s="147"/>
      <c r="C30" s="148"/>
      <c r="D30" s="149"/>
      <c r="E30" s="22"/>
      <c r="F30" s="23"/>
      <c r="G30" s="23"/>
      <c r="H30" s="23"/>
      <c r="I30" s="23"/>
      <c r="J30" s="23"/>
      <c r="K30" s="23"/>
      <c r="L30" s="23"/>
      <c r="M30" s="23"/>
      <c r="N30" s="23"/>
      <c r="O30" s="24"/>
    </row>
    <row r="31" spans="1:15" ht="12.95" customHeight="1" x14ac:dyDescent="0.25">
      <c r="B31" s="1"/>
      <c r="C31" s="8"/>
      <c r="D31" s="4"/>
      <c r="E31" s="103" t="s">
        <v>25</v>
      </c>
      <c r="F31" s="104"/>
      <c r="G31" s="104"/>
      <c r="H31" s="104"/>
      <c r="I31" s="104"/>
      <c r="J31" s="104"/>
      <c r="K31" s="104"/>
      <c r="L31" s="104"/>
      <c r="M31" s="104"/>
      <c r="N31" s="104"/>
      <c r="O31" s="105"/>
    </row>
    <row r="32" spans="1:15" ht="12.95" customHeight="1" x14ac:dyDescent="0.25">
      <c r="B32" s="1"/>
      <c r="C32" s="8"/>
      <c r="D32" s="5"/>
      <c r="E32" s="106"/>
      <c r="F32" s="107"/>
      <c r="G32" s="107"/>
      <c r="H32" s="107"/>
      <c r="I32" s="107"/>
      <c r="J32" s="107"/>
      <c r="K32" s="107"/>
      <c r="L32" s="107"/>
      <c r="M32" s="107"/>
      <c r="N32" s="107"/>
      <c r="O32" s="108"/>
    </row>
    <row r="33" spans="2:15" ht="3.75" customHeight="1" x14ac:dyDescent="0.25">
      <c r="B33" s="1"/>
      <c r="C33" s="8"/>
      <c r="D33" s="5"/>
      <c r="E33" s="106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2:15" ht="4.5" customHeight="1" thickBot="1" x14ac:dyDescent="0.3">
      <c r="B34" s="1"/>
      <c r="C34" s="8"/>
      <c r="D34" s="5"/>
      <c r="E34" s="109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2:15" ht="15.95" customHeight="1" x14ac:dyDescent="0.25">
      <c r="B35" s="1"/>
      <c r="C35" s="8"/>
      <c r="D35" s="5"/>
      <c r="E35" s="29" t="s">
        <v>3</v>
      </c>
      <c r="F35" s="30"/>
      <c r="G35" s="130" t="s">
        <v>57</v>
      </c>
      <c r="H35" s="131"/>
      <c r="I35" s="131"/>
      <c r="J35" s="131"/>
      <c r="K35" s="131"/>
      <c r="L35" s="131"/>
      <c r="M35" s="131"/>
      <c r="N35" s="131"/>
      <c r="O35" s="132"/>
    </row>
    <row r="36" spans="2:15" ht="15.95" customHeight="1" thickBot="1" x14ac:dyDescent="0.3">
      <c r="B36" s="1"/>
      <c r="C36" s="8"/>
      <c r="D36" s="5"/>
      <c r="E36" s="31"/>
      <c r="F36" s="32"/>
      <c r="G36" s="133"/>
      <c r="H36" s="134"/>
      <c r="I36" s="134"/>
      <c r="J36" s="134"/>
      <c r="K36" s="134"/>
      <c r="L36" s="134"/>
      <c r="M36" s="134"/>
      <c r="N36" s="134"/>
      <c r="O36" s="135"/>
    </row>
    <row r="37" spans="2:15" ht="15.95" customHeight="1" x14ac:dyDescent="0.25">
      <c r="B37" s="1"/>
      <c r="C37" s="8"/>
      <c r="D37" s="5"/>
      <c r="E37" s="29" t="s">
        <v>2</v>
      </c>
      <c r="F37" s="30"/>
      <c r="G37" s="39" t="s">
        <v>14</v>
      </c>
      <c r="H37" s="40"/>
      <c r="I37" s="41"/>
      <c r="J37" s="140"/>
      <c r="K37" s="141"/>
      <c r="L37" s="37"/>
      <c r="M37" s="45" t="s">
        <v>27</v>
      </c>
      <c r="N37" s="46"/>
      <c r="O37" s="47"/>
    </row>
    <row r="38" spans="2:15" ht="15.95" customHeight="1" thickBot="1" x14ac:dyDescent="0.3">
      <c r="B38" s="1"/>
      <c r="C38" s="8"/>
      <c r="D38" s="5"/>
      <c r="E38" s="31"/>
      <c r="F38" s="32"/>
      <c r="G38" s="42"/>
      <c r="H38" s="43"/>
      <c r="I38" s="44"/>
      <c r="J38" s="142"/>
      <c r="K38" s="143"/>
      <c r="L38" s="38"/>
      <c r="M38" s="48"/>
      <c r="N38" s="49"/>
      <c r="O38" s="50"/>
    </row>
    <row r="39" spans="2:15" ht="15.95" customHeight="1" x14ac:dyDescent="0.25">
      <c r="B39" s="1"/>
      <c r="C39" s="8"/>
      <c r="D39" s="5"/>
      <c r="E39" s="33" t="s">
        <v>4</v>
      </c>
      <c r="F39" s="34"/>
      <c r="G39" s="39" t="s">
        <v>64</v>
      </c>
      <c r="H39" s="40"/>
      <c r="I39" s="41"/>
      <c r="J39" s="112" t="s">
        <v>15</v>
      </c>
      <c r="K39" s="113"/>
      <c r="L39" s="114"/>
      <c r="M39" s="39" t="s">
        <v>66</v>
      </c>
      <c r="N39" s="40"/>
      <c r="O39" s="41"/>
    </row>
    <row r="40" spans="2:15" ht="15.95" customHeight="1" thickBot="1" x14ac:dyDescent="0.3">
      <c r="B40" s="1"/>
      <c r="C40" s="8"/>
      <c r="D40" s="5"/>
      <c r="E40" s="35"/>
      <c r="F40" s="36"/>
      <c r="G40" s="42"/>
      <c r="H40" s="43"/>
      <c r="I40" s="44"/>
      <c r="J40" s="115"/>
      <c r="K40" s="116"/>
      <c r="L40" s="117"/>
      <c r="M40" s="42"/>
      <c r="N40" s="43"/>
      <c r="O40" s="44"/>
    </row>
    <row r="41" spans="2:15" ht="15.95" customHeight="1" x14ac:dyDescent="0.25">
      <c r="B41" s="1"/>
      <c r="C41" s="8"/>
      <c r="D41" s="5"/>
      <c r="E41" s="29" t="s">
        <v>13</v>
      </c>
      <c r="F41" s="30"/>
      <c r="G41" s="25">
        <f>190*110%</f>
        <v>209.00000000000003</v>
      </c>
      <c r="H41" s="26"/>
      <c r="I41" s="37" t="s">
        <v>5</v>
      </c>
      <c r="J41" s="25"/>
      <c r="K41" s="26"/>
      <c r="L41" s="37" t="s">
        <v>5</v>
      </c>
      <c r="M41" s="136">
        <f>36*110%</f>
        <v>39.6</v>
      </c>
      <c r="N41" s="137"/>
      <c r="O41" s="37" t="s">
        <v>5</v>
      </c>
    </row>
    <row r="42" spans="2:15" ht="15.95" customHeight="1" thickBot="1" x14ac:dyDescent="0.3">
      <c r="B42" s="1"/>
      <c r="C42" s="8"/>
      <c r="D42" s="5"/>
      <c r="E42" s="31"/>
      <c r="F42" s="32"/>
      <c r="G42" s="27"/>
      <c r="H42" s="28"/>
      <c r="I42" s="38"/>
      <c r="J42" s="27"/>
      <c r="K42" s="28"/>
      <c r="L42" s="38"/>
      <c r="M42" s="138"/>
      <c r="N42" s="139"/>
      <c r="O42" s="38"/>
    </row>
    <row r="43" spans="2:15" ht="15.95" customHeight="1" x14ac:dyDescent="0.25">
      <c r="B43" s="1"/>
      <c r="C43" s="8"/>
      <c r="D43" s="5"/>
      <c r="E43" s="29" t="s">
        <v>6</v>
      </c>
      <c r="F43" s="30"/>
      <c r="G43" s="75">
        <v>6.2615740740740739E-3</v>
      </c>
      <c r="H43" s="76"/>
      <c r="I43" s="122" t="s">
        <v>7</v>
      </c>
      <c r="J43" s="67"/>
      <c r="K43" s="68"/>
      <c r="L43" s="122" t="s">
        <v>7</v>
      </c>
      <c r="M43" s="75">
        <v>1.3888888888888889E-3</v>
      </c>
      <c r="N43" s="76"/>
      <c r="O43" s="122" t="s">
        <v>7</v>
      </c>
    </row>
    <row r="44" spans="2:15" ht="15.95" customHeight="1" thickBot="1" x14ac:dyDescent="0.3">
      <c r="B44" s="2"/>
      <c r="C44" s="3"/>
      <c r="D44" s="6"/>
      <c r="E44" s="31"/>
      <c r="F44" s="32"/>
      <c r="G44" s="77"/>
      <c r="H44" s="78"/>
      <c r="I44" s="123"/>
      <c r="J44" s="69"/>
      <c r="K44" s="70"/>
      <c r="L44" s="123"/>
      <c r="M44" s="77"/>
      <c r="N44" s="78"/>
      <c r="O44" s="123"/>
    </row>
    <row r="45" spans="2:15" s="18" customFormat="1" ht="12" customHeight="1" x14ac:dyDescent="0.35">
      <c r="B45" s="124"/>
      <c r="C45" s="125"/>
      <c r="D45" s="125"/>
      <c r="E45" s="125" t="s">
        <v>10</v>
      </c>
      <c r="F45" s="125"/>
      <c r="G45" s="125"/>
      <c r="H45" s="125"/>
      <c r="I45" s="125"/>
      <c r="J45" s="125"/>
      <c r="K45" s="125"/>
      <c r="L45" s="125"/>
      <c r="M45" s="125"/>
      <c r="N45" s="125"/>
      <c r="O45" s="128"/>
    </row>
    <row r="46" spans="2:15" s="18" customFormat="1" ht="12" customHeight="1" thickBot="1" x14ac:dyDescent="0.4">
      <c r="B46" s="126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9"/>
    </row>
    <row r="47" spans="2:15" ht="8.25" customHeight="1" x14ac:dyDescent="0.25">
      <c r="B47" s="71" t="s">
        <v>12</v>
      </c>
      <c r="C47" s="72"/>
      <c r="D47" s="72"/>
      <c r="E47" s="72"/>
      <c r="F47" s="101"/>
      <c r="G47" s="71" t="s">
        <v>59</v>
      </c>
      <c r="H47" s="72"/>
      <c r="I47" s="72"/>
      <c r="J47" s="71"/>
      <c r="K47" s="72"/>
      <c r="L47" s="72"/>
      <c r="M47" s="71" t="s">
        <v>61</v>
      </c>
      <c r="N47" s="72"/>
      <c r="O47" s="72"/>
    </row>
    <row r="48" spans="2:15" ht="23.1" customHeight="1" thickBot="1" x14ac:dyDescent="0.3">
      <c r="B48" s="73"/>
      <c r="C48" s="74"/>
      <c r="D48" s="74"/>
      <c r="E48" s="74"/>
      <c r="F48" s="102"/>
      <c r="G48" s="73"/>
      <c r="H48" s="74"/>
      <c r="I48" s="74"/>
      <c r="J48" s="73"/>
      <c r="K48" s="74"/>
      <c r="L48" s="74"/>
      <c r="M48" s="73"/>
      <c r="N48" s="74"/>
      <c r="O48" s="74"/>
    </row>
    <row r="49" spans="1:15" ht="14.1" customHeight="1" x14ac:dyDescent="0.25">
      <c r="B49" s="57" t="s">
        <v>9</v>
      </c>
      <c r="C49" s="58"/>
      <c r="D49" s="118" t="s">
        <v>8</v>
      </c>
      <c r="E49" s="118"/>
      <c r="F49" s="119"/>
      <c r="G49" s="61" t="s">
        <v>63</v>
      </c>
      <c r="H49" s="63" t="s">
        <v>11</v>
      </c>
      <c r="I49" s="64"/>
      <c r="J49" s="61"/>
      <c r="K49" s="63"/>
      <c r="L49" s="64"/>
      <c r="M49" s="61" t="s">
        <v>63</v>
      </c>
      <c r="N49" s="63" t="s">
        <v>11</v>
      </c>
      <c r="O49" s="64"/>
    </row>
    <row r="50" spans="1:15" ht="14.1" customHeight="1" thickBot="1" x14ac:dyDescent="0.3">
      <c r="B50" s="59"/>
      <c r="C50" s="60"/>
      <c r="D50" s="120"/>
      <c r="E50" s="120"/>
      <c r="F50" s="121"/>
      <c r="G50" s="62"/>
      <c r="H50" s="65"/>
      <c r="I50" s="66"/>
      <c r="J50" s="62"/>
      <c r="K50" s="65"/>
      <c r="L50" s="66"/>
      <c r="M50" s="62"/>
      <c r="N50" s="65"/>
      <c r="O50" s="66"/>
    </row>
    <row r="51" spans="1:15" ht="14.1" customHeight="1" x14ac:dyDescent="0.25">
      <c r="B51" s="97">
        <v>0.4</v>
      </c>
      <c r="C51" s="98"/>
      <c r="D51" s="87" t="s">
        <v>19</v>
      </c>
      <c r="E51" s="87"/>
      <c r="F51" s="88"/>
      <c r="G51" s="89" t="s">
        <v>22</v>
      </c>
      <c r="H51" s="79" t="s">
        <v>24</v>
      </c>
      <c r="I51" s="80"/>
      <c r="J51" s="91"/>
      <c r="K51" s="93"/>
      <c r="L51" s="94"/>
      <c r="M51" s="89" t="s">
        <v>22</v>
      </c>
      <c r="N51" s="79" t="s">
        <v>24</v>
      </c>
      <c r="O51" s="80"/>
    </row>
    <row r="52" spans="1:15" ht="14.1" customHeight="1" thickBot="1" x14ac:dyDescent="0.3">
      <c r="B52" s="99"/>
      <c r="C52" s="100"/>
      <c r="D52" s="84" t="s">
        <v>18</v>
      </c>
      <c r="E52" s="84"/>
      <c r="F52" s="85"/>
      <c r="G52" s="90"/>
      <c r="H52" s="81"/>
      <c r="I52" s="82"/>
      <c r="J52" s="92"/>
      <c r="K52" s="95"/>
      <c r="L52" s="96"/>
      <c r="M52" s="90"/>
      <c r="N52" s="81"/>
      <c r="O52" s="82"/>
    </row>
    <row r="53" spans="1:15" ht="14.1" customHeight="1" x14ac:dyDescent="0.25">
      <c r="B53" s="97">
        <v>0.6</v>
      </c>
      <c r="C53" s="98"/>
      <c r="D53" s="86" t="s">
        <v>20</v>
      </c>
      <c r="E53" s="87"/>
      <c r="F53" s="88"/>
      <c r="G53" s="89" t="s">
        <v>23</v>
      </c>
      <c r="H53" s="79" t="s">
        <v>24</v>
      </c>
      <c r="I53" s="80"/>
      <c r="J53" s="91"/>
      <c r="K53" s="93"/>
      <c r="L53" s="94"/>
      <c r="M53" s="89" t="s">
        <v>62</v>
      </c>
      <c r="N53" s="79" t="s">
        <v>24</v>
      </c>
      <c r="O53" s="80"/>
    </row>
    <row r="54" spans="1:15" ht="14.1" customHeight="1" thickBot="1" x14ac:dyDescent="0.3">
      <c r="B54" s="99"/>
      <c r="C54" s="100"/>
      <c r="D54" s="83" t="s">
        <v>21</v>
      </c>
      <c r="E54" s="84"/>
      <c r="F54" s="85"/>
      <c r="G54" s="90"/>
      <c r="H54" s="81"/>
      <c r="I54" s="82"/>
      <c r="J54" s="92"/>
      <c r="K54" s="95"/>
      <c r="L54" s="96"/>
      <c r="M54" s="90"/>
      <c r="N54" s="81"/>
      <c r="O54" s="82"/>
    </row>
    <row r="55" spans="1:15" ht="2.1" customHeight="1" thickBot="1" x14ac:dyDescent="0.3">
      <c r="A55" t="s"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4.1" customHeight="1" x14ac:dyDescent="0.25">
      <c r="B56" s="144" t="s">
        <v>16</v>
      </c>
      <c r="C56" s="145"/>
      <c r="D56" s="146"/>
      <c r="E56" s="19" t="s">
        <v>1</v>
      </c>
      <c r="F56" s="20"/>
      <c r="G56" s="20"/>
      <c r="H56" s="20"/>
      <c r="I56" s="20"/>
      <c r="J56" s="20"/>
      <c r="K56" s="20"/>
      <c r="L56" s="20"/>
      <c r="M56" s="20"/>
      <c r="N56" s="20"/>
      <c r="O56" s="21"/>
    </row>
    <row r="57" spans="1:15" ht="14.1" customHeight="1" thickBot="1" x14ac:dyDescent="0.3">
      <c r="B57" s="147"/>
      <c r="C57" s="148"/>
      <c r="D57" s="149"/>
      <c r="E57" s="22"/>
      <c r="F57" s="23"/>
      <c r="G57" s="23"/>
      <c r="H57" s="23"/>
      <c r="I57" s="23"/>
      <c r="J57" s="23"/>
      <c r="K57" s="23"/>
      <c r="L57" s="23"/>
      <c r="M57" s="23"/>
      <c r="N57" s="23"/>
      <c r="O57" s="24"/>
    </row>
    <row r="58" spans="1:15" ht="12.95" customHeight="1" x14ac:dyDescent="0.25">
      <c r="B58" s="1"/>
      <c r="C58" s="8"/>
      <c r="D58" s="4"/>
      <c r="E58" s="103" t="s">
        <v>25</v>
      </c>
      <c r="F58" s="104"/>
      <c r="G58" s="104"/>
      <c r="H58" s="104"/>
      <c r="I58" s="104"/>
      <c r="J58" s="104"/>
      <c r="K58" s="104"/>
      <c r="L58" s="104"/>
      <c r="M58" s="104"/>
      <c r="N58" s="104"/>
      <c r="O58" s="105"/>
    </row>
    <row r="59" spans="1:15" ht="12.95" customHeight="1" x14ac:dyDescent="0.25">
      <c r="B59" s="1"/>
      <c r="C59" s="8"/>
      <c r="D59" s="5"/>
      <c r="E59" s="106"/>
      <c r="F59" s="107"/>
      <c r="G59" s="107"/>
      <c r="H59" s="107"/>
      <c r="I59" s="107"/>
      <c r="J59" s="107"/>
      <c r="K59" s="107"/>
      <c r="L59" s="107"/>
      <c r="M59" s="107"/>
      <c r="N59" s="107"/>
      <c r="O59" s="108"/>
    </row>
    <row r="60" spans="1:15" ht="3.75" customHeight="1" x14ac:dyDescent="0.25">
      <c r="B60" s="1"/>
      <c r="C60" s="8"/>
      <c r="D60" s="5"/>
      <c r="E60" s="106"/>
      <c r="F60" s="107"/>
      <c r="G60" s="107"/>
      <c r="H60" s="107"/>
      <c r="I60" s="107"/>
      <c r="J60" s="107"/>
      <c r="K60" s="107"/>
      <c r="L60" s="107"/>
      <c r="M60" s="107"/>
      <c r="N60" s="107"/>
      <c r="O60" s="108"/>
    </row>
    <row r="61" spans="1:15" ht="4.5" customHeight="1" thickBot="1" x14ac:dyDescent="0.3">
      <c r="B61" s="1"/>
      <c r="C61" s="8"/>
      <c r="D61" s="5"/>
      <c r="E61" s="109"/>
      <c r="F61" s="110"/>
      <c r="G61" s="110"/>
      <c r="H61" s="110"/>
      <c r="I61" s="110"/>
      <c r="J61" s="110"/>
      <c r="K61" s="110"/>
      <c r="L61" s="110"/>
      <c r="M61" s="110"/>
      <c r="N61" s="110"/>
      <c r="O61" s="111"/>
    </row>
    <row r="62" spans="1:15" ht="15.95" customHeight="1" x14ac:dyDescent="0.25">
      <c r="B62" s="1"/>
      <c r="C62" s="8"/>
      <c r="D62" s="5"/>
      <c r="E62" s="29" t="s">
        <v>3</v>
      </c>
      <c r="F62" s="30"/>
      <c r="G62" s="51" t="s">
        <v>58</v>
      </c>
      <c r="H62" s="52"/>
      <c r="I62" s="52"/>
      <c r="J62" s="52"/>
      <c r="K62" s="52"/>
      <c r="L62" s="52"/>
      <c r="M62" s="52"/>
      <c r="N62" s="52"/>
      <c r="O62" s="53"/>
    </row>
    <row r="63" spans="1:15" ht="15.95" customHeight="1" thickBot="1" x14ac:dyDescent="0.3">
      <c r="B63" s="1"/>
      <c r="C63" s="8"/>
      <c r="D63" s="5"/>
      <c r="E63" s="31"/>
      <c r="F63" s="32"/>
      <c r="G63" s="54"/>
      <c r="H63" s="55"/>
      <c r="I63" s="55"/>
      <c r="J63" s="55"/>
      <c r="K63" s="55"/>
      <c r="L63" s="55"/>
      <c r="M63" s="55"/>
      <c r="N63" s="55"/>
      <c r="O63" s="56"/>
    </row>
    <row r="64" spans="1:15" ht="15.95" customHeight="1" x14ac:dyDescent="0.25">
      <c r="B64" s="1"/>
      <c r="C64" s="8"/>
      <c r="D64" s="5"/>
      <c r="E64" s="29" t="s">
        <v>2</v>
      </c>
      <c r="F64" s="30"/>
      <c r="G64" s="39" t="s">
        <v>14</v>
      </c>
      <c r="H64" s="40"/>
      <c r="I64" s="41"/>
      <c r="J64" s="140"/>
      <c r="K64" s="141"/>
      <c r="L64" s="37"/>
      <c r="M64" s="45" t="s">
        <v>27</v>
      </c>
      <c r="N64" s="46"/>
      <c r="O64" s="47"/>
    </row>
    <row r="65" spans="2:15" ht="15.95" customHeight="1" thickBot="1" x14ac:dyDescent="0.3">
      <c r="B65" s="1"/>
      <c r="C65" s="8"/>
      <c r="D65" s="5"/>
      <c r="E65" s="31"/>
      <c r="F65" s="32"/>
      <c r="G65" s="42"/>
      <c r="H65" s="43"/>
      <c r="I65" s="44"/>
      <c r="J65" s="142"/>
      <c r="K65" s="143"/>
      <c r="L65" s="38"/>
      <c r="M65" s="48"/>
      <c r="N65" s="49"/>
      <c r="O65" s="50"/>
    </row>
    <row r="66" spans="2:15" ht="15.95" customHeight="1" x14ac:dyDescent="0.25">
      <c r="B66" s="1"/>
      <c r="C66" s="8"/>
      <c r="D66" s="5"/>
      <c r="E66" s="33" t="s">
        <v>4</v>
      </c>
      <c r="F66" s="34"/>
      <c r="G66" s="39" t="s">
        <v>60</v>
      </c>
      <c r="H66" s="40"/>
      <c r="I66" s="41"/>
      <c r="J66" s="112" t="s">
        <v>15</v>
      </c>
      <c r="K66" s="113"/>
      <c r="L66" s="114"/>
      <c r="M66" s="39" t="s">
        <v>67</v>
      </c>
      <c r="N66" s="40"/>
      <c r="O66" s="41"/>
    </row>
    <row r="67" spans="2:15" ht="15.95" customHeight="1" thickBot="1" x14ac:dyDescent="0.3">
      <c r="B67" s="1"/>
      <c r="C67" s="8"/>
      <c r="D67" s="5"/>
      <c r="E67" s="35"/>
      <c r="F67" s="36"/>
      <c r="G67" s="42"/>
      <c r="H67" s="43"/>
      <c r="I67" s="44"/>
      <c r="J67" s="115"/>
      <c r="K67" s="116"/>
      <c r="L67" s="117"/>
      <c r="M67" s="42"/>
      <c r="N67" s="43"/>
      <c r="O67" s="44"/>
    </row>
    <row r="68" spans="2:15" ht="15.95" customHeight="1" x14ac:dyDescent="0.25">
      <c r="B68" s="1"/>
      <c r="C68" s="8"/>
      <c r="D68" s="5"/>
      <c r="E68" s="29" t="s">
        <v>13</v>
      </c>
      <c r="F68" s="30"/>
      <c r="G68" s="25">
        <f>210*110%</f>
        <v>231.00000000000003</v>
      </c>
      <c r="H68" s="26"/>
      <c r="I68" s="37" t="s">
        <v>5</v>
      </c>
      <c r="J68" s="25"/>
      <c r="K68" s="26"/>
      <c r="L68" s="37" t="s">
        <v>5</v>
      </c>
      <c r="M68" s="136">
        <f>39*110%</f>
        <v>42.900000000000006</v>
      </c>
      <c r="N68" s="137"/>
      <c r="O68" s="37" t="s">
        <v>5</v>
      </c>
    </row>
    <row r="69" spans="2:15" ht="15.95" customHeight="1" thickBot="1" x14ac:dyDescent="0.3">
      <c r="B69" s="1"/>
      <c r="C69" s="8"/>
      <c r="D69" s="5"/>
      <c r="E69" s="31"/>
      <c r="F69" s="32"/>
      <c r="G69" s="27"/>
      <c r="H69" s="28"/>
      <c r="I69" s="38"/>
      <c r="J69" s="27"/>
      <c r="K69" s="28"/>
      <c r="L69" s="38"/>
      <c r="M69" s="138"/>
      <c r="N69" s="139"/>
      <c r="O69" s="38"/>
    </row>
    <row r="70" spans="2:15" ht="15.95" customHeight="1" x14ac:dyDescent="0.25">
      <c r="B70" s="1"/>
      <c r="C70" s="8"/>
      <c r="D70" s="5"/>
      <c r="E70" s="29" t="s">
        <v>6</v>
      </c>
      <c r="F70" s="30"/>
      <c r="G70" s="75">
        <v>4.5833333333333334E-3</v>
      </c>
      <c r="H70" s="76"/>
      <c r="I70" s="122" t="s">
        <v>7</v>
      </c>
      <c r="J70" s="67"/>
      <c r="K70" s="68"/>
      <c r="L70" s="122" t="s">
        <v>7</v>
      </c>
      <c r="M70" s="75">
        <v>1.3888888888888889E-3</v>
      </c>
      <c r="N70" s="76"/>
      <c r="O70" s="122" t="s">
        <v>7</v>
      </c>
    </row>
    <row r="71" spans="2:15" ht="15.95" customHeight="1" thickBot="1" x14ac:dyDescent="0.3">
      <c r="B71" s="2"/>
      <c r="C71" s="3"/>
      <c r="D71" s="6"/>
      <c r="E71" s="31"/>
      <c r="F71" s="32"/>
      <c r="G71" s="77"/>
      <c r="H71" s="78"/>
      <c r="I71" s="123"/>
      <c r="J71" s="69"/>
      <c r="K71" s="70"/>
      <c r="L71" s="123"/>
      <c r="M71" s="77"/>
      <c r="N71" s="78"/>
      <c r="O71" s="123"/>
    </row>
    <row r="72" spans="2:15" s="18" customFormat="1" ht="12" customHeight="1" x14ac:dyDescent="0.35">
      <c r="B72" s="124"/>
      <c r="C72" s="125"/>
      <c r="D72" s="125"/>
      <c r="E72" s="125" t="s">
        <v>10</v>
      </c>
      <c r="F72" s="125"/>
      <c r="G72" s="125"/>
      <c r="H72" s="125"/>
      <c r="I72" s="125"/>
      <c r="J72" s="125"/>
      <c r="K72" s="125"/>
      <c r="L72" s="125"/>
      <c r="M72" s="125"/>
      <c r="N72" s="125"/>
      <c r="O72" s="128"/>
    </row>
    <row r="73" spans="2:15" s="18" customFormat="1" ht="12" customHeight="1" thickBot="1" x14ac:dyDescent="0.4">
      <c r="B73" s="126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9"/>
    </row>
    <row r="74" spans="2:15" ht="8.25" customHeight="1" x14ac:dyDescent="0.25">
      <c r="B74" s="71" t="s">
        <v>12</v>
      </c>
      <c r="C74" s="72"/>
      <c r="D74" s="72"/>
      <c r="E74" s="72"/>
      <c r="F74" s="101"/>
      <c r="G74" s="71" t="s">
        <v>61</v>
      </c>
      <c r="H74" s="72"/>
      <c r="I74" s="72"/>
      <c r="J74" s="71"/>
      <c r="K74" s="72"/>
      <c r="L74" s="72"/>
      <c r="M74" s="71" t="s">
        <v>68</v>
      </c>
      <c r="N74" s="72"/>
      <c r="O74" s="72"/>
    </row>
    <row r="75" spans="2:15" ht="23.1" customHeight="1" thickBot="1" x14ac:dyDescent="0.3">
      <c r="B75" s="73"/>
      <c r="C75" s="74"/>
      <c r="D75" s="74"/>
      <c r="E75" s="74"/>
      <c r="F75" s="102"/>
      <c r="G75" s="73"/>
      <c r="H75" s="74"/>
      <c r="I75" s="74"/>
      <c r="J75" s="73"/>
      <c r="K75" s="74"/>
      <c r="L75" s="74"/>
      <c r="M75" s="73"/>
      <c r="N75" s="74"/>
      <c r="O75" s="74"/>
    </row>
    <row r="76" spans="2:15" ht="14.1" customHeight="1" x14ac:dyDescent="0.25">
      <c r="B76" s="57" t="s">
        <v>9</v>
      </c>
      <c r="C76" s="58"/>
      <c r="D76" s="118" t="s">
        <v>8</v>
      </c>
      <c r="E76" s="118"/>
      <c r="F76" s="119"/>
      <c r="G76" s="61" t="s">
        <v>63</v>
      </c>
      <c r="H76" s="63" t="s">
        <v>11</v>
      </c>
      <c r="I76" s="64"/>
      <c r="J76" s="61"/>
      <c r="K76" s="63"/>
      <c r="L76" s="64"/>
      <c r="M76" s="61" t="s">
        <v>63</v>
      </c>
      <c r="N76" s="63" t="s">
        <v>11</v>
      </c>
      <c r="O76" s="64"/>
    </row>
    <row r="77" spans="2:15" ht="14.1" customHeight="1" thickBot="1" x14ac:dyDescent="0.3">
      <c r="B77" s="59"/>
      <c r="C77" s="60"/>
      <c r="D77" s="120"/>
      <c r="E77" s="120"/>
      <c r="F77" s="121"/>
      <c r="G77" s="62"/>
      <c r="H77" s="65"/>
      <c r="I77" s="66"/>
      <c r="J77" s="62"/>
      <c r="K77" s="65"/>
      <c r="L77" s="66"/>
      <c r="M77" s="62"/>
      <c r="N77" s="65"/>
      <c r="O77" s="66"/>
    </row>
    <row r="78" spans="2:15" ht="14.1" customHeight="1" x14ac:dyDescent="0.25">
      <c r="B78" s="97">
        <v>0.4</v>
      </c>
      <c r="C78" s="98"/>
      <c r="D78" s="87" t="s">
        <v>19</v>
      </c>
      <c r="E78" s="87"/>
      <c r="F78" s="88"/>
      <c r="G78" s="89" t="s">
        <v>22</v>
      </c>
      <c r="H78" s="79" t="s">
        <v>24</v>
      </c>
      <c r="I78" s="80"/>
      <c r="J78" s="91"/>
      <c r="K78" s="93"/>
      <c r="L78" s="94"/>
      <c r="M78" s="89" t="s">
        <v>22</v>
      </c>
      <c r="N78" s="79" t="s">
        <v>24</v>
      </c>
      <c r="O78" s="80"/>
    </row>
    <row r="79" spans="2:15" ht="14.1" customHeight="1" thickBot="1" x14ac:dyDescent="0.3">
      <c r="B79" s="99"/>
      <c r="C79" s="100"/>
      <c r="D79" s="84" t="s">
        <v>18</v>
      </c>
      <c r="E79" s="84"/>
      <c r="F79" s="85"/>
      <c r="G79" s="90"/>
      <c r="H79" s="81"/>
      <c r="I79" s="82"/>
      <c r="J79" s="92"/>
      <c r="K79" s="95"/>
      <c r="L79" s="96"/>
      <c r="M79" s="90"/>
      <c r="N79" s="81"/>
      <c r="O79" s="82"/>
    </row>
    <row r="80" spans="2:15" ht="14.1" customHeight="1" x14ac:dyDescent="0.25">
      <c r="B80" s="97">
        <v>0.6</v>
      </c>
      <c r="C80" s="98"/>
      <c r="D80" s="86" t="s">
        <v>20</v>
      </c>
      <c r="E80" s="87"/>
      <c r="F80" s="88"/>
      <c r="G80" s="89" t="s">
        <v>62</v>
      </c>
      <c r="H80" s="79" t="s">
        <v>24</v>
      </c>
      <c r="I80" s="80"/>
      <c r="J80" s="91"/>
      <c r="K80" s="93"/>
      <c r="L80" s="94"/>
      <c r="M80" s="89" t="s">
        <v>62</v>
      </c>
      <c r="N80" s="79" t="s">
        <v>24</v>
      </c>
      <c r="O80" s="80"/>
    </row>
    <row r="81" spans="2:15" ht="14.1" customHeight="1" thickBot="1" x14ac:dyDescent="0.3">
      <c r="B81" s="99"/>
      <c r="C81" s="100"/>
      <c r="D81" s="83" t="s">
        <v>21</v>
      </c>
      <c r="E81" s="84"/>
      <c r="F81" s="85"/>
      <c r="G81" s="90"/>
      <c r="H81" s="81"/>
      <c r="I81" s="82"/>
      <c r="J81" s="92"/>
      <c r="K81" s="95"/>
      <c r="L81" s="96"/>
      <c r="M81" s="90"/>
      <c r="N81" s="81"/>
      <c r="O81" s="82"/>
    </row>
    <row r="82" spans="2:15" ht="15.75" customHeight="1" x14ac:dyDescent="0.25"/>
    <row r="83" spans="2:15" ht="15.75" customHeight="1" x14ac:dyDescent="0.25"/>
    <row r="84" spans="2:15" ht="15.75" customHeight="1" x14ac:dyDescent="0.25"/>
    <row r="85" spans="2:15" ht="15.75" customHeight="1" x14ac:dyDescent="0.25"/>
    <row r="86" spans="2:15" ht="15.75" customHeight="1" x14ac:dyDescent="0.25"/>
    <row r="87" spans="2:15" ht="15.75" customHeight="1" x14ac:dyDescent="0.25"/>
    <row r="88" spans="2:15" ht="15.75" customHeight="1" x14ac:dyDescent="0.25"/>
    <row r="89" spans="2:15" ht="15.75" customHeight="1" x14ac:dyDescent="0.25"/>
    <row r="90" spans="2:15" ht="15.75" customHeight="1" x14ac:dyDescent="0.25"/>
    <row r="91" spans="2:15" ht="15.75" customHeight="1" x14ac:dyDescent="0.25"/>
    <row r="92" spans="2:15" ht="15.75" customHeight="1" x14ac:dyDescent="0.25"/>
    <row r="93" spans="2:15" ht="15.75" customHeight="1" x14ac:dyDescent="0.25"/>
    <row r="94" spans="2:15" ht="15.75" customHeight="1" x14ac:dyDescent="0.25"/>
    <row r="95" spans="2:15" ht="15.75" customHeight="1" x14ac:dyDescent="0.25"/>
    <row r="96" spans="2:1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</sheetData>
  <mergeCells count="177">
    <mergeCell ref="K51:L52"/>
    <mergeCell ref="M51:M52"/>
    <mergeCell ref="N51:O52"/>
    <mergeCell ref="D52:F52"/>
    <mergeCell ref="B49:C50"/>
    <mergeCell ref="D49:F50"/>
    <mergeCell ref="B78:C79"/>
    <mergeCell ref="D78:F78"/>
    <mergeCell ref="G78:G79"/>
    <mergeCell ref="H78:I79"/>
    <mergeCell ref="J78:J79"/>
    <mergeCell ref="K78:L79"/>
    <mergeCell ref="M78:M79"/>
    <mergeCell ref="N78:O79"/>
    <mergeCell ref="D79:F79"/>
    <mergeCell ref="B76:C77"/>
    <mergeCell ref="D76:F77"/>
    <mergeCell ref="G76:G77"/>
    <mergeCell ref="H76:I77"/>
    <mergeCell ref="J76:J77"/>
    <mergeCell ref="M70:N71"/>
    <mergeCell ref="O70:O71"/>
    <mergeCell ref="B74:F75"/>
    <mergeCell ref="G74:I75"/>
    <mergeCell ref="B2:D3"/>
    <mergeCell ref="G10:I11"/>
    <mergeCell ref="J10:L11"/>
    <mergeCell ref="G37:I38"/>
    <mergeCell ref="J37:L38"/>
    <mergeCell ref="E18:O19"/>
    <mergeCell ref="B18:D19"/>
    <mergeCell ref="B29:D30"/>
    <mergeCell ref="B56:D57"/>
    <mergeCell ref="B53:C54"/>
    <mergeCell ref="K49:L50"/>
    <mergeCell ref="M49:M50"/>
    <mergeCell ref="N49:O50"/>
    <mergeCell ref="B51:C52"/>
    <mergeCell ref="D51:F51"/>
    <mergeCell ref="G51:G52"/>
    <mergeCell ref="H51:I52"/>
    <mergeCell ref="J51:J52"/>
    <mergeCell ref="G49:G50"/>
    <mergeCell ref="H49:I50"/>
    <mergeCell ref="J49:J50"/>
    <mergeCell ref="B47:F48"/>
    <mergeCell ref="G47:I48"/>
    <mergeCell ref="J47:L48"/>
    <mergeCell ref="B72:D73"/>
    <mergeCell ref="E72:O73"/>
    <mergeCell ref="K80:L81"/>
    <mergeCell ref="M80:M81"/>
    <mergeCell ref="N80:O81"/>
    <mergeCell ref="D81:F81"/>
    <mergeCell ref="B80:C81"/>
    <mergeCell ref="D80:F80"/>
    <mergeCell ref="G80:G81"/>
    <mergeCell ref="H80:I81"/>
    <mergeCell ref="J80:J81"/>
    <mergeCell ref="K76:L77"/>
    <mergeCell ref="M76:M77"/>
    <mergeCell ref="N76:O77"/>
    <mergeCell ref="E66:F67"/>
    <mergeCell ref="G66:I67"/>
    <mergeCell ref="J66:L67"/>
    <mergeCell ref="M66:O67"/>
    <mergeCell ref="E68:F69"/>
    <mergeCell ref="G68:H69"/>
    <mergeCell ref="I68:I69"/>
    <mergeCell ref="J68:K69"/>
    <mergeCell ref="L68:L69"/>
    <mergeCell ref="M68:N69"/>
    <mergeCell ref="O68:O69"/>
    <mergeCell ref="J74:L75"/>
    <mergeCell ref="M74:O75"/>
    <mergeCell ref="E70:F71"/>
    <mergeCell ref="G70:H71"/>
    <mergeCell ref="I70:I71"/>
    <mergeCell ref="J70:K71"/>
    <mergeCell ref="L70:L71"/>
    <mergeCell ref="E58:O61"/>
    <mergeCell ref="E62:F63"/>
    <mergeCell ref="G62:O63"/>
    <mergeCell ref="E64:F65"/>
    <mergeCell ref="M64:O65"/>
    <mergeCell ref="E56:O57"/>
    <mergeCell ref="K53:L54"/>
    <mergeCell ref="M53:M54"/>
    <mergeCell ref="N53:O54"/>
    <mergeCell ref="D54:F54"/>
    <mergeCell ref="D53:F53"/>
    <mergeCell ref="G53:G54"/>
    <mergeCell ref="H53:I54"/>
    <mergeCell ref="J53:J54"/>
    <mergeCell ref="G64:I65"/>
    <mergeCell ref="J64:L65"/>
    <mergeCell ref="M47:O48"/>
    <mergeCell ref="M41:N42"/>
    <mergeCell ref="O41:O42"/>
    <mergeCell ref="E43:F44"/>
    <mergeCell ref="G43:H44"/>
    <mergeCell ref="I43:I44"/>
    <mergeCell ref="J43:K44"/>
    <mergeCell ref="L43:L44"/>
    <mergeCell ref="M43:N44"/>
    <mergeCell ref="O43:O44"/>
    <mergeCell ref="E41:F42"/>
    <mergeCell ref="G41:H42"/>
    <mergeCell ref="I41:I42"/>
    <mergeCell ref="J41:K42"/>
    <mergeCell ref="L41:L42"/>
    <mergeCell ref="B45:D46"/>
    <mergeCell ref="E45:O46"/>
    <mergeCell ref="E37:F38"/>
    <mergeCell ref="M37:O38"/>
    <mergeCell ref="E39:F40"/>
    <mergeCell ref="G39:I40"/>
    <mergeCell ref="J39:L40"/>
    <mergeCell ref="M39:O40"/>
    <mergeCell ref="E29:O30"/>
    <mergeCell ref="E31:O34"/>
    <mergeCell ref="E35:F36"/>
    <mergeCell ref="G35:O36"/>
    <mergeCell ref="G20:I21"/>
    <mergeCell ref="J20:L21"/>
    <mergeCell ref="J26:J27"/>
    <mergeCell ref="K26:L27"/>
    <mergeCell ref="E4:O7"/>
    <mergeCell ref="G12:I13"/>
    <mergeCell ref="J12:L13"/>
    <mergeCell ref="G14:H15"/>
    <mergeCell ref="N26:O27"/>
    <mergeCell ref="N22:O23"/>
    <mergeCell ref="M24:M25"/>
    <mergeCell ref="N24:O25"/>
    <mergeCell ref="D22:F23"/>
    <mergeCell ref="I16:I17"/>
    <mergeCell ref="L16:L17"/>
    <mergeCell ref="O16:O17"/>
    <mergeCell ref="M16:N17"/>
    <mergeCell ref="B22:C23"/>
    <mergeCell ref="J22:J23"/>
    <mergeCell ref="K22:L23"/>
    <mergeCell ref="J16:K17"/>
    <mergeCell ref="M20:O21"/>
    <mergeCell ref="G16:H17"/>
    <mergeCell ref="H26:I27"/>
    <mergeCell ref="D27:F27"/>
    <mergeCell ref="D26:F26"/>
    <mergeCell ref="G26:G27"/>
    <mergeCell ref="M26:M27"/>
    <mergeCell ref="G22:G23"/>
    <mergeCell ref="H22:I23"/>
    <mergeCell ref="J24:J25"/>
    <mergeCell ref="K24:L25"/>
    <mergeCell ref="M22:M23"/>
    <mergeCell ref="B24:C25"/>
    <mergeCell ref="G24:G25"/>
    <mergeCell ref="H24:I25"/>
    <mergeCell ref="D25:F25"/>
    <mergeCell ref="B26:C27"/>
    <mergeCell ref="D24:F24"/>
    <mergeCell ref="E16:F17"/>
    <mergeCell ref="B20:F21"/>
    <mergeCell ref="E2:O3"/>
    <mergeCell ref="J14:K15"/>
    <mergeCell ref="E8:F9"/>
    <mergeCell ref="E10:F11"/>
    <mergeCell ref="E12:F13"/>
    <mergeCell ref="E14:F15"/>
    <mergeCell ref="L14:L15"/>
    <mergeCell ref="I14:I15"/>
    <mergeCell ref="O14:O15"/>
    <mergeCell ref="M14:N15"/>
    <mergeCell ref="M12:O13"/>
    <mergeCell ref="M10:O11"/>
    <mergeCell ref="G8:O9"/>
  </mergeCells>
  <phoneticPr fontId="5" type="noConversion"/>
  <printOptions horizontalCentered="1"/>
  <pageMargins left="0.15748031496062992" right="0.11811023622047245" top="0.49212598425196852" bottom="0" header="0" footer="0"/>
  <pageSetup paperSize="5" scale="89" fitToHeight="3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2"/>
  <sheetViews>
    <sheetView workbookViewId="0">
      <selection activeCell="H17" sqref="H17"/>
    </sheetView>
  </sheetViews>
  <sheetFormatPr baseColWidth="10" defaultRowHeight="15" x14ac:dyDescent="0.25"/>
  <cols>
    <col min="1" max="1" width="20.42578125" customWidth="1"/>
    <col min="8" max="8" width="15.140625" customWidth="1"/>
    <col min="10" max="10" width="22.28515625" customWidth="1"/>
  </cols>
  <sheetData>
    <row r="2" spans="1:13" ht="24.75" x14ac:dyDescent="0.5">
      <c r="B2" s="10" t="s">
        <v>29</v>
      </c>
      <c r="C2" s="10"/>
      <c r="D2" s="10"/>
    </row>
    <row r="3" spans="1:13" ht="18.75" x14ac:dyDescent="0.4">
      <c r="A3" s="12" t="s">
        <v>39</v>
      </c>
      <c r="B3" s="12" t="s">
        <v>38</v>
      </c>
      <c r="H3" s="9" t="s">
        <v>44</v>
      </c>
      <c r="I3" s="9" t="s">
        <v>45</v>
      </c>
      <c r="J3" s="9"/>
      <c r="K3" s="9"/>
      <c r="L3" s="9"/>
      <c r="M3" s="9"/>
    </row>
    <row r="4" spans="1:13" ht="18.75" x14ac:dyDescent="0.4">
      <c r="A4" s="9" t="s">
        <v>30</v>
      </c>
      <c r="B4" s="9" t="s">
        <v>47</v>
      </c>
      <c r="C4" s="9" t="s">
        <v>31</v>
      </c>
      <c r="D4" s="9"/>
      <c r="E4" s="9"/>
      <c r="H4" s="9" t="s">
        <v>46</v>
      </c>
      <c r="I4" s="9" t="s">
        <v>21</v>
      </c>
      <c r="J4" s="9"/>
      <c r="K4" s="9"/>
      <c r="L4" s="9"/>
      <c r="M4" s="9"/>
    </row>
    <row r="5" spans="1:13" ht="19.5" thickBot="1" x14ac:dyDescent="0.45">
      <c r="H5" s="9"/>
      <c r="I5" s="9"/>
      <c r="J5" s="9"/>
      <c r="K5" s="9"/>
      <c r="L5" s="9"/>
      <c r="M5" s="9"/>
    </row>
    <row r="6" spans="1:13" ht="19.5" thickBot="1" x14ac:dyDescent="0.45">
      <c r="A6" s="9" t="s">
        <v>32</v>
      </c>
      <c r="B6" s="13" t="s">
        <v>40</v>
      </c>
      <c r="C6" s="14"/>
      <c r="D6" s="14"/>
      <c r="E6" s="16">
        <v>1</v>
      </c>
      <c r="H6" s="9" t="s">
        <v>48</v>
      </c>
      <c r="I6" s="9" t="s">
        <v>49</v>
      </c>
      <c r="J6" s="9"/>
      <c r="K6" s="9" t="s">
        <v>52</v>
      </c>
      <c r="L6" s="9"/>
      <c r="M6" s="9"/>
    </row>
    <row r="7" spans="1:13" ht="19.5" thickBot="1" x14ac:dyDescent="0.45">
      <c r="A7" s="9"/>
      <c r="B7" s="14"/>
      <c r="C7" s="14"/>
      <c r="D7" s="14"/>
      <c r="E7" s="17"/>
      <c r="H7" s="15">
        <v>8</v>
      </c>
      <c r="I7" s="150" t="s">
        <v>54</v>
      </c>
      <c r="J7" s="150"/>
      <c r="K7" s="9" t="s">
        <v>53</v>
      </c>
      <c r="L7" s="9">
        <v>0.31</v>
      </c>
      <c r="M7" s="9"/>
    </row>
    <row r="8" spans="1:13" ht="19.5" thickBot="1" x14ac:dyDescent="0.45">
      <c r="A8" s="9" t="s">
        <v>33</v>
      </c>
      <c r="B8" s="13" t="s">
        <v>55</v>
      </c>
      <c r="C8" s="14"/>
      <c r="D8" s="14"/>
      <c r="F8" s="16">
        <v>3.5</v>
      </c>
      <c r="H8" s="9"/>
      <c r="I8" s="9"/>
      <c r="J8" s="9"/>
      <c r="K8" s="9"/>
      <c r="L8" s="9"/>
      <c r="M8" s="9"/>
    </row>
    <row r="9" spans="1:13" ht="19.5" thickBot="1" x14ac:dyDescent="0.45">
      <c r="A9" s="9"/>
      <c r="B9" s="14"/>
      <c r="C9" s="14"/>
      <c r="D9" s="14"/>
      <c r="E9" s="17"/>
      <c r="H9" s="9"/>
      <c r="I9" s="9" t="s">
        <v>51</v>
      </c>
      <c r="J9" s="9"/>
      <c r="K9" s="9" t="s">
        <v>51</v>
      </c>
      <c r="L9" s="9"/>
      <c r="M9" s="9"/>
    </row>
    <row r="10" spans="1:13" ht="19.5" thickBot="1" x14ac:dyDescent="0.45">
      <c r="A10" s="9" t="s">
        <v>34</v>
      </c>
      <c r="B10" s="13" t="s">
        <v>35</v>
      </c>
      <c r="C10" s="14"/>
      <c r="D10" s="14"/>
      <c r="E10" s="16">
        <v>0.25</v>
      </c>
      <c r="H10" s="9"/>
      <c r="I10" s="150" t="s">
        <v>50</v>
      </c>
      <c r="J10" s="150"/>
      <c r="K10" s="151">
        <v>9.7222222222222224E-2</v>
      </c>
      <c r="L10" s="150"/>
      <c r="M10" s="9"/>
    </row>
    <row r="11" spans="1:13" ht="19.5" thickBot="1" x14ac:dyDescent="0.45">
      <c r="A11" s="9"/>
      <c r="B11" s="13" t="s">
        <v>56</v>
      </c>
      <c r="C11" s="14"/>
      <c r="D11" s="14"/>
      <c r="E11" s="16">
        <v>1</v>
      </c>
      <c r="H11" s="9"/>
      <c r="I11" s="9"/>
      <c r="J11" s="9"/>
      <c r="K11" s="9"/>
      <c r="L11" s="9"/>
      <c r="M11" s="9"/>
    </row>
    <row r="12" spans="1:13" ht="19.5" thickBot="1" x14ac:dyDescent="0.45">
      <c r="A12" s="9"/>
      <c r="E12" s="17"/>
    </row>
    <row r="13" spans="1:13" ht="19.5" thickBot="1" x14ac:dyDescent="0.45">
      <c r="A13" s="9" t="s">
        <v>36</v>
      </c>
      <c r="B13" s="11"/>
      <c r="C13" s="11" t="s">
        <v>37</v>
      </c>
      <c r="E13" s="16"/>
    </row>
    <row r="20" spans="1:5" ht="18.75" x14ac:dyDescent="0.4">
      <c r="A20" s="9" t="s">
        <v>43</v>
      </c>
      <c r="B20" s="9"/>
      <c r="C20" s="11"/>
      <c r="E20" s="11"/>
    </row>
    <row r="21" spans="1:5" ht="18.75" x14ac:dyDescent="0.4">
      <c r="A21" s="9" t="s">
        <v>42</v>
      </c>
      <c r="B21" s="9"/>
    </row>
    <row r="22" spans="1:5" ht="18.75" x14ac:dyDescent="0.4">
      <c r="A22" s="9" t="s">
        <v>41</v>
      </c>
      <c r="B22" s="9"/>
    </row>
  </sheetData>
  <mergeCells count="3">
    <mergeCell ref="I7:J7"/>
    <mergeCell ref="I10:J10"/>
    <mergeCell ref="K10:L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A400-8C6A-4545-8891-E66457EFB690}">
  <sheetPr>
    <pageSetUpPr fitToPage="1"/>
  </sheetPr>
  <dimension ref="A1:O739"/>
  <sheetViews>
    <sheetView showGridLines="0" topLeftCell="A37" zoomScaleNormal="100" zoomScaleSheetLayoutView="55" zoomScalePageLayoutView="55" workbookViewId="0">
      <selection activeCell="E72" sqref="E72:O73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6.28515625" customWidth="1"/>
    <col min="16" max="16" width="0.5703125" customWidth="1"/>
  </cols>
  <sheetData>
    <row r="1" spans="2:15" ht="6.75" customHeight="1" thickBot="1" x14ac:dyDescent="0.3"/>
    <row r="2" spans="2:15" ht="14.1" customHeight="1" x14ac:dyDescent="0.25">
      <c r="B2" s="144" t="s">
        <v>16</v>
      </c>
      <c r="C2" s="145"/>
      <c r="D2" s="146"/>
      <c r="E2" s="19" t="s">
        <v>1</v>
      </c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2:15" ht="14.1" customHeight="1" thickBot="1" x14ac:dyDescent="0.3">
      <c r="B3" s="147"/>
      <c r="C3" s="148"/>
      <c r="D3" s="149"/>
      <c r="E3" s="22"/>
      <c r="F3" s="23"/>
      <c r="G3" s="23"/>
      <c r="H3" s="23"/>
      <c r="I3" s="23"/>
      <c r="J3" s="23"/>
      <c r="K3" s="23"/>
      <c r="L3" s="23"/>
      <c r="M3" s="23"/>
      <c r="N3" s="23"/>
      <c r="O3" s="24"/>
    </row>
    <row r="4" spans="2:15" ht="12.95" customHeight="1" x14ac:dyDescent="0.25">
      <c r="B4" s="1"/>
      <c r="C4" s="8"/>
      <c r="D4" s="4"/>
      <c r="E4" s="103" t="s">
        <v>25</v>
      </c>
      <c r="F4" s="104"/>
      <c r="G4" s="104"/>
      <c r="H4" s="104"/>
      <c r="I4" s="104"/>
      <c r="J4" s="104"/>
      <c r="K4" s="104"/>
      <c r="L4" s="104"/>
      <c r="M4" s="104"/>
      <c r="N4" s="104"/>
      <c r="O4" s="105"/>
    </row>
    <row r="5" spans="2:15" ht="12.95" customHeight="1" x14ac:dyDescent="0.25">
      <c r="B5" s="1"/>
      <c r="C5" s="8"/>
      <c r="D5" s="5"/>
      <c r="E5" s="106"/>
      <c r="F5" s="107"/>
      <c r="G5" s="107"/>
      <c r="H5" s="107"/>
      <c r="I5" s="107"/>
      <c r="J5" s="107"/>
      <c r="K5" s="107"/>
      <c r="L5" s="107"/>
      <c r="M5" s="107"/>
      <c r="N5" s="107"/>
      <c r="O5" s="108"/>
    </row>
    <row r="6" spans="2:15" ht="3.75" customHeight="1" x14ac:dyDescent="0.25">
      <c r="B6" s="1"/>
      <c r="C6" s="8"/>
      <c r="D6" s="5"/>
      <c r="E6" s="106"/>
      <c r="F6" s="107"/>
      <c r="G6" s="107"/>
      <c r="H6" s="107"/>
      <c r="I6" s="107"/>
      <c r="J6" s="107"/>
      <c r="K6" s="107"/>
      <c r="L6" s="107"/>
      <c r="M6" s="107"/>
      <c r="N6" s="107"/>
      <c r="O6" s="108"/>
    </row>
    <row r="7" spans="2:15" ht="4.5" customHeight="1" thickBot="1" x14ac:dyDescent="0.3">
      <c r="B7" s="1"/>
      <c r="C7" s="8"/>
      <c r="D7" s="5"/>
      <c r="E7" s="109"/>
      <c r="F7" s="110"/>
      <c r="G7" s="110"/>
      <c r="H7" s="110"/>
      <c r="I7" s="110"/>
      <c r="J7" s="110"/>
      <c r="K7" s="110"/>
      <c r="L7" s="110"/>
      <c r="M7" s="110"/>
      <c r="N7" s="110"/>
      <c r="O7" s="111"/>
    </row>
    <row r="8" spans="2:15" ht="15.95" customHeight="1" x14ac:dyDescent="0.25">
      <c r="B8" s="1"/>
      <c r="C8" s="8"/>
      <c r="D8" s="5"/>
      <c r="E8" s="29" t="s">
        <v>3</v>
      </c>
      <c r="F8" s="30"/>
      <c r="G8" s="51" t="s">
        <v>26</v>
      </c>
      <c r="H8" s="52"/>
      <c r="I8" s="52"/>
      <c r="J8" s="52"/>
      <c r="K8" s="52"/>
      <c r="L8" s="52"/>
      <c r="M8" s="52"/>
      <c r="N8" s="52"/>
      <c r="O8" s="53"/>
    </row>
    <row r="9" spans="2:15" ht="15.95" customHeight="1" thickBot="1" x14ac:dyDescent="0.3">
      <c r="B9" s="1"/>
      <c r="C9" s="8"/>
      <c r="D9" s="5"/>
      <c r="E9" s="31"/>
      <c r="F9" s="32"/>
      <c r="G9" s="54"/>
      <c r="H9" s="55"/>
      <c r="I9" s="55"/>
      <c r="J9" s="55"/>
      <c r="K9" s="55"/>
      <c r="L9" s="55"/>
      <c r="M9" s="55"/>
      <c r="N9" s="55"/>
      <c r="O9" s="56"/>
    </row>
    <row r="10" spans="2:15" ht="15.95" customHeight="1" x14ac:dyDescent="0.25">
      <c r="B10" s="1"/>
      <c r="C10" s="8"/>
      <c r="D10" s="5"/>
      <c r="E10" s="29" t="s">
        <v>2</v>
      </c>
      <c r="F10" s="30"/>
      <c r="G10" s="39" t="s">
        <v>14</v>
      </c>
      <c r="H10" s="40"/>
      <c r="I10" s="41"/>
      <c r="J10" s="140"/>
      <c r="K10" s="141"/>
      <c r="L10" s="37"/>
      <c r="M10" s="45" t="s">
        <v>27</v>
      </c>
      <c r="N10" s="46"/>
      <c r="O10" s="47"/>
    </row>
    <row r="11" spans="2:15" ht="15.95" customHeight="1" thickBot="1" x14ac:dyDescent="0.3">
      <c r="B11" s="1"/>
      <c r="C11" s="8"/>
      <c r="D11" s="5"/>
      <c r="E11" s="31"/>
      <c r="F11" s="32"/>
      <c r="G11" s="42"/>
      <c r="H11" s="43"/>
      <c r="I11" s="44"/>
      <c r="J11" s="142"/>
      <c r="K11" s="143"/>
      <c r="L11" s="38"/>
      <c r="M11" s="48"/>
      <c r="N11" s="49"/>
      <c r="O11" s="50"/>
    </row>
    <row r="12" spans="2:15" ht="15.95" customHeight="1" x14ac:dyDescent="0.25">
      <c r="B12" s="1"/>
      <c r="C12" s="8"/>
      <c r="D12" s="5"/>
      <c r="E12" s="33" t="s">
        <v>4</v>
      </c>
      <c r="F12" s="34"/>
      <c r="G12" s="39" t="s">
        <v>17</v>
      </c>
      <c r="H12" s="40"/>
      <c r="I12" s="41"/>
      <c r="J12" s="112" t="s">
        <v>15</v>
      </c>
      <c r="K12" s="113"/>
      <c r="L12" s="114"/>
      <c r="M12" s="39" t="s">
        <v>65</v>
      </c>
      <c r="N12" s="40"/>
      <c r="O12" s="41"/>
    </row>
    <row r="13" spans="2:15" ht="15.95" customHeight="1" thickBot="1" x14ac:dyDescent="0.3">
      <c r="B13" s="1"/>
      <c r="C13" s="8"/>
      <c r="D13" s="5"/>
      <c r="E13" s="35"/>
      <c r="F13" s="36"/>
      <c r="G13" s="42"/>
      <c r="H13" s="43"/>
      <c r="I13" s="44"/>
      <c r="J13" s="115"/>
      <c r="K13" s="116"/>
      <c r="L13" s="117"/>
      <c r="M13" s="42"/>
      <c r="N13" s="43"/>
      <c r="O13" s="44"/>
    </row>
    <row r="14" spans="2:15" ht="15.95" customHeight="1" x14ac:dyDescent="0.25">
      <c r="B14" s="1"/>
      <c r="C14" s="8"/>
      <c r="D14" s="5"/>
      <c r="E14" s="29" t="s">
        <v>13</v>
      </c>
      <c r="F14" s="30"/>
      <c r="G14" s="25">
        <f>153*110%</f>
        <v>168.3</v>
      </c>
      <c r="H14" s="26"/>
      <c r="I14" s="37" t="s">
        <v>5</v>
      </c>
      <c r="J14" s="25"/>
      <c r="K14" s="26"/>
      <c r="L14" s="37" t="s">
        <v>5</v>
      </c>
      <c r="M14" s="25">
        <f>31*110%</f>
        <v>34.1</v>
      </c>
      <c r="N14" s="26"/>
      <c r="O14" s="37" t="s">
        <v>5</v>
      </c>
    </row>
    <row r="15" spans="2:15" ht="15.95" customHeight="1" thickBot="1" x14ac:dyDescent="0.3">
      <c r="B15" s="1"/>
      <c r="C15" s="8"/>
      <c r="D15" s="5"/>
      <c r="E15" s="31"/>
      <c r="F15" s="32"/>
      <c r="G15" s="27"/>
      <c r="H15" s="28"/>
      <c r="I15" s="38"/>
      <c r="J15" s="27"/>
      <c r="K15" s="28"/>
      <c r="L15" s="38"/>
      <c r="M15" s="27"/>
      <c r="N15" s="28"/>
      <c r="O15" s="38"/>
    </row>
    <row r="16" spans="2:15" ht="15.95" customHeight="1" x14ac:dyDescent="0.25">
      <c r="B16" s="1"/>
      <c r="C16" s="8"/>
      <c r="D16" s="5"/>
      <c r="E16" s="29" t="s">
        <v>6</v>
      </c>
      <c r="F16" s="30"/>
      <c r="G16" s="75">
        <v>5.7060185185185183E-3</v>
      </c>
      <c r="H16" s="76"/>
      <c r="I16" s="122" t="s">
        <v>7</v>
      </c>
      <c r="J16" s="67"/>
      <c r="K16" s="68"/>
      <c r="L16" s="122" t="s">
        <v>7</v>
      </c>
      <c r="M16" s="75">
        <v>1.6203703703703703E-3</v>
      </c>
      <c r="N16" s="76"/>
      <c r="O16" s="122" t="s">
        <v>7</v>
      </c>
    </row>
    <row r="17" spans="1:15" ht="15.95" customHeight="1" thickBot="1" x14ac:dyDescent="0.3">
      <c r="B17" s="2"/>
      <c r="C17" s="3"/>
      <c r="D17" s="6"/>
      <c r="E17" s="31"/>
      <c r="F17" s="32"/>
      <c r="G17" s="77"/>
      <c r="H17" s="78"/>
      <c r="I17" s="123"/>
      <c r="J17" s="69"/>
      <c r="K17" s="70"/>
      <c r="L17" s="123"/>
      <c r="M17" s="77"/>
      <c r="N17" s="78"/>
      <c r="O17" s="123"/>
    </row>
    <row r="18" spans="1:15" ht="15" customHeight="1" x14ac:dyDescent="0.25">
      <c r="B18" s="152"/>
      <c r="C18" s="153"/>
      <c r="D18" s="153"/>
      <c r="E18" s="153" t="s">
        <v>10</v>
      </c>
      <c r="F18" s="153"/>
      <c r="G18" s="153"/>
      <c r="H18" s="153"/>
      <c r="I18" s="153"/>
      <c r="J18" s="153"/>
      <c r="K18" s="153"/>
      <c r="L18" s="153"/>
      <c r="M18" s="153"/>
      <c r="N18" s="153"/>
      <c r="O18" s="156"/>
    </row>
    <row r="19" spans="1:15" ht="15" customHeight="1" thickBot="1" x14ac:dyDescent="0.3">
      <c r="B19" s="154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7"/>
    </row>
    <row r="20" spans="1:15" ht="8.25" customHeight="1" x14ac:dyDescent="0.25">
      <c r="B20" s="71" t="s">
        <v>12</v>
      </c>
      <c r="C20" s="72"/>
      <c r="D20" s="72"/>
      <c r="E20" s="72"/>
      <c r="F20" s="101"/>
      <c r="G20" s="71" t="s">
        <v>28</v>
      </c>
      <c r="H20" s="72"/>
      <c r="I20" s="72"/>
      <c r="J20" s="71"/>
      <c r="K20" s="72"/>
      <c r="L20" s="72"/>
      <c r="M20" s="71" t="s">
        <v>59</v>
      </c>
      <c r="N20" s="72"/>
      <c r="O20" s="72"/>
    </row>
    <row r="21" spans="1:15" ht="23.1" customHeight="1" thickBot="1" x14ac:dyDescent="0.3">
      <c r="B21" s="73"/>
      <c r="C21" s="74"/>
      <c r="D21" s="74"/>
      <c r="E21" s="74"/>
      <c r="F21" s="102"/>
      <c r="G21" s="73"/>
      <c r="H21" s="74"/>
      <c r="I21" s="74"/>
      <c r="J21" s="73"/>
      <c r="K21" s="74"/>
      <c r="L21" s="74"/>
      <c r="M21" s="73"/>
      <c r="N21" s="74"/>
      <c r="O21" s="74"/>
    </row>
    <row r="22" spans="1:15" ht="14.1" customHeight="1" x14ac:dyDescent="0.25">
      <c r="B22" s="57" t="s">
        <v>9</v>
      </c>
      <c r="C22" s="58"/>
      <c r="D22" s="118" t="s">
        <v>8</v>
      </c>
      <c r="E22" s="118"/>
      <c r="F22" s="119"/>
      <c r="G22" s="61" t="s">
        <v>63</v>
      </c>
      <c r="H22" s="63" t="s">
        <v>11</v>
      </c>
      <c r="I22" s="64"/>
      <c r="J22" s="61"/>
      <c r="K22" s="63"/>
      <c r="L22" s="64"/>
      <c r="M22" s="61" t="s">
        <v>63</v>
      </c>
      <c r="N22" s="63" t="s">
        <v>11</v>
      </c>
      <c r="O22" s="64"/>
    </row>
    <row r="23" spans="1:15" ht="14.1" customHeight="1" thickBot="1" x14ac:dyDescent="0.3">
      <c r="B23" s="59"/>
      <c r="C23" s="60"/>
      <c r="D23" s="120"/>
      <c r="E23" s="120"/>
      <c r="F23" s="121"/>
      <c r="G23" s="62"/>
      <c r="H23" s="65"/>
      <c r="I23" s="66"/>
      <c r="J23" s="62"/>
      <c r="K23" s="65"/>
      <c r="L23" s="66"/>
      <c r="M23" s="62"/>
      <c r="N23" s="65"/>
      <c r="O23" s="66"/>
    </row>
    <row r="24" spans="1:15" ht="14.1" customHeight="1" x14ac:dyDescent="0.25">
      <c r="B24" s="97">
        <v>0.4</v>
      </c>
      <c r="C24" s="98"/>
      <c r="D24" s="87" t="s">
        <v>19</v>
      </c>
      <c r="E24" s="87"/>
      <c r="F24" s="88"/>
      <c r="G24" s="89" t="s">
        <v>22</v>
      </c>
      <c r="H24" s="79" t="s">
        <v>24</v>
      </c>
      <c r="I24" s="80"/>
      <c r="J24" s="91"/>
      <c r="K24" s="93"/>
      <c r="L24" s="94"/>
      <c r="M24" s="89" t="s">
        <v>22</v>
      </c>
      <c r="N24" s="79" t="s">
        <v>24</v>
      </c>
      <c r="O24" s="80"/>
    </row>
    <row r="25" spans="1:15" ht="14.1" customHeight="1" thickBot="1" x14ac:dyDescent="0.3">
      <c r="B25" s="99"/>
      <c r="C25" s="100"/>
      <c r="D25" s="84" t="s">
        <v>18</v>
      </c>
      <c r="E25" s="84"/>
      <c r="F25" s="85"/>
      <c r="G25" s="90"/>
      <c r="H25" s="81"/>
      <c r="I25" s="82"/>
      <c r="J25" s="92"/>
      <c r="K25" s="95"/>
      <c r="L25" s="96"/>
      <c r="M25" s="90"/>
      <c r="N25" s="81"/>
      <c r="O25" s="82"/>
    </row>
    <row r="26" spans="1:15" ht="14.1" customHeight="1" x14ac:dyDescent="0.25">
      <c r="B26" s="97">
        <v>0.6</v>
      </c>
      <c r="C26" s="98"/>
      <c r="D26" s="86" t="s">
        <v>20</v>
      </c>
      <c r="E26" s="87"/>
      <c r="F26" s="88"/>
      <c r="G26" s="89" t="s">
        <v>23</v>
      </c>
      <c r="H26" s="79" t="s">
        <v>24</v>
      </c>
      <c r="I26" s="80"/>
      <c r="J26" s="91"/>
      <c r="K26" s="93"/>
      <c r="L26" s="94"/>
      <c r="M26" s="89" t="s">
        <v>23</v>
      </c>
      <c r="N26" s="79" t="s">
        <v>24</v>
      </c>
      <c r="O26" s="80"/>
    </row>
    <row r="27" spans="1:15" ht="14.1" customHeight="1" thickBot="1" x14ac:dyDescent="0.3">
      <c r="B27" s="99"/>
      <c r="C27" s="100"/>
      <c r="D27" s="83" t="s">
        <v>21</v>
      </c>
      <c r="E27" s="84"/>
      <c r="F27" s="85"/>
      <c r="G27" s="90"/>
      <c r="H27" s="81"/>
      <c r="I27" s="82"/>
      <c r="J27" s="92"/>
      <c r="K27" s="95"/>
      <c r="L27" s="96"/>
      <c r="M27" s="90"/>
      <c r="N27" s="81"/>
      <c r="O27" s="82"/>
    </row>
    <row r="28" spans="1:15" ht="12" customHeight="1" thickBot="1" x14ac:dyDescent="0.3">
      <c r="A28" t="s"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4.1" customHeight="1" x14ac:dyDescent="0.25">
      <c r="B29" s="144" t="s">
        <v>16</v>
      </c>
      <c r="C29" s="145"/>
      <c r="D29" s="146"/>
      <c r="E29" s="19" t="s">
        <v>1</v>
      </c>
      <c r="F29" s="20"/>
      <c r="G29" s="20"/>
      <c r="H29" s="20"/>
      <c r="I29" s="20"/>
      <c r="J29" s="20"/>
      <c r="K29" s="20"/>
      <c r="L29" s="20"/>
      <c r="M29" s="20"/>
      <c r="N29" s="20"/>
      <c r="O29" s="21"/>
    </row>
    <row r="30" spans="1:15" ht="14.1" customHeight="1" thickBot="1" x14ac:dyDescent="0.3">
      <c r="B30" s="147"/>
      <c r="C30" s="148"/>
      <c r="D30" s="149"/>
      <c r="E30" s="22"/>
      <c r="F30" s="23"/>
      <c r="G30" s="23"/>
      <c r="H30" s="23"/>
      <c r="I30" s="23"/>
      <c r="J30" s="23"/>
      <c r="K30" s="23"/>
      <c r="L30" s="23"/>
      <c r="M30" s="23"/>
      <c r="N30" s="23"/>
      <c r="O30" s="24"/>
    </row>
    <row r="31" spans="1:15" ht="12.95" customHeight="1" x14ac:dyDescent="0.25">
      <c r="B31" s="1"/>
      <c r="C31" s="8"/>
      <c r="D31" s="4"/>
      <c r="E31" s="103" t="s">
        <v>25</v>
      </c>
      <c r="F31" s="104"/>
      <c r="G31" s="104"/>
      <c r="H31" s="104"/>
      <c r="I31" s="104"/>
      <c r="J31" s="104"/>
      <c r="K31" s="104"/>
      <c r="L31" s="104"/>
      <c r="M31" s="104"/>
      <c r="N31" s="104"/>
      <c r="O31" s="105"/>
    </row>
    <row r="32" spans="1:15" ht="12.95" customHeight="1" x14ac:dyDescent="0.25">
      <c r="B32" s="1"/>
      <c r="C32" s="8"/>
      <c r="D32" s="5"/>
      <c r="E32" s="106"/>
      <c r="F32" s="107"/>
      <c r="G32" s="107"/>
      <c r="H32" s="107"/>
      <c r="I32" s="107"/>
      <c r="J32" s="107"/>
      <c r="K32" s="107"/>
      <c r="L32" s="107"/>
      <c r="M32" s="107"/>
      <c r="N32" s="107"/>
      <c r="O32" s="108"/>
    </row>
    <row r="33" spans="2:15" ht="3.75" customHeight="1" x14ac:dyDescent="0.25">
      <c r="B33" s="1"/>
      <c r="C33" s="8"/>
      <c r="D33" s="5"/>
      <c r="E33" s="106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2:15" ht="4.5" customHeight="1" thickBot="1" x14ac:dyDescent="0.3">
      <c r="B34" s="1"/>
      <c r="C34" s="8"/>
      <c r="D34" s="5"/>
      <c r="E34" s="109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2:15" ht="15.95" customHeight="1" x14ac:dyDescent="0.25">
      <c r="B35" s="1"/>
      <c r="C35" s="8"/>
      <c r="D35" s="5"/>
      <c r="E35" s="29" t="s">
        <v>3</v>
      </c>
      <c r="F35" s="30"/>
      <c r="G35" s="130" t="s">
        <v>57</v>
      </c>
      <c r="H35" s="131"/>
      <c r="I35" s="131"/>
      <c r="J35" s="131"/>
      <c r="K35" s="131"/>
      <c r="L35" s="131"/>
      <c r="M35" s="131"/>
      <c r="N35" s="131"/>
      <c r="O35" s="132"/>
    </row>
    <row r="36" spans="2:15" ht="15.95" customHeight="1" thickBot="1" x14ac:dyDescent="0.3">
      <c r="B36" s="1"/>
      <c r="C36" s="8"/>
      <c r="D36" s="5"/>
      <c r="E36" s="31"/>
      <c r="F36" s="32"/>
      <c r="G36" s="133"/>
      <c r="H36" s="134"/>
      <c r="I36" s="134"/>
      <c r="J36" s="134"/>
      <c r="K36" s="134"/>
      <c r="L36" s="134"/>
      <c r="M36" s="134"/>
      <c r="N36" s="134"/>
      <c r="O36" s="135"/>
    </row>
    <row r="37" spans="2:15" ht="15.95" customHeight="1" x14ac:dyDescent="0.25">
      <c r="B37" s="1"/>
      <c r="C37" s="8"/>
      <c r="D37" s="5"/>
      <c r="E37" s="29" t="s">
        <v>2</v>
      </c>
      <c r="F37" s="30"/>
      <c r="G37" s="39" t="s">
        <v>14</v>
      </c>
      <c r="H37" s="40"/>
      <c r="I37" s="41"/>
      <c r="J37" s="140"/>
      <c r="K37" s="141"/>
      <c r="L37" s="37"/>
      <c r="M37" s="45" t="s">
        <v>27</v>
      </c>
      <c r="N37" s="46"/>
      <c r="O37" s="47"/>
    </row>
    <row r="38" spans="2:15" ht="15.95" customHeight="1" thickBot="1" x14ac:dyDescent="0.3">
      <c r="B38" s="1"/>
      <c r="C38" s="8"/>
      <c r="D38" s="5"/>
      <c r="E38" s="31"/>
      <c r="F38" s="32"/>
      <c r="G38" s="42"/>
      <c r="H38" s="43"/>
      <c r="I38" s="44"/>
      <c r="J38" s="142"/>
      <c r="K38" s="143"/>
      <c r="L38" s="38"/>
      <c r="M38" s="48"/>
      <c r="N38" s="49"/>
      <c r="O38" s="50"/>
    </row>
    <row r="39" spans="2:15" ht="15.95" customHeight="1" x14ac:dyDescent="0.25">
      <c r="B39" s="1"/>
      <c r="C39" s="8"/>
      <c r="D39" s="5"/>
      <c r="E39" s="33" t="s">
        <v>4</v>
      </c>
      <c r="F39" s="34"/>
      <c r="G39" s="39" t="s">
        <v>64</v>
      </c>
      <c r="H39" s="40"/>
      <c r="I39" s="41"/>
      <c r="J39" s="112" t="s">
        <v>15</v>
      </c>
      <c r="K39" s="113"/>
      <c r="L39" s="114"/>
      <c r="M39" s="39" t="s">
        <v>66</v>
      </c>
      <c r="N39" s="40"/>
      <c r="O39" s="41"/>
    </row>
    <row r="40" spans="2:15" ht="15.95" customHeight="1" thickBot="1" x14ac:dyDescent="0.3">
      <c r="B40" s="1"/>
      <c r="C40" s="8"/>
      <c r="D40" s="5"/>
      <c r="E40" s="35"/>
      <c r="F40" s="36"/>
      <c r="G40" s="42"/>
      <c r="H40" s="43"/>
      <c r="I40" s="44"/>
      <c r="J40" s="115"/>
      <c r="K40" s="116"/>
      <c r="L40" s="117"/>
      <c r="M40" s="42"/>
      <c r="N40" s="43"/>
      <c r="O40" s="44"/>
    </row>
    <row r="41" spans="2:15" ht="15.95" customHeight="1" x14ac:dyDescent="0.25">
      <c r="B41" s="1"/>
      <c r="C41" s="8"/>
      <c r="D41" s="5"/>
      <c r="E41" s="29" t="s">
        <v>13</v>
      </c>
      <c r="F41" s="30"/>
      <c r="G41" s="25">
        <f>162*110%</f>
        <v>178.20000000000002</v>
      </c>
      <c r="H41" s="26"/>
      <c r="I41" s="37" t="s">
        <v>5</v>
      </c>
      <c r="J41" s="25"/>
      <c r="K41" s="26"/>
      <c r="L41" s="37" t="s">
        <v>5</v>
      </c>
      <c r="M41" s="136">
        <f>33*110%</f>
        <v>36.300000000000004</v>
      </c>
      <c r="N41" s="137"/>
      <c r="O41" s="37" t="s">
        <v>5</v>
      </c>
    </row>
    <row r="42" spans="2:15" ht="15.95" customHeight="1" thickBot="1" x14ac:dyDescent="0.3">
      <c r="B42" s="1"/>
      <c r="C42" s="8"/>
      <c r="D42" s="5"/>
      <c r="E42" s="31"/>
      <c r="F42" s="32"/>
      <c r="G42" s="27"/>
      <c r="H42" s="28"/>
      <c r="I42" s="38"/>
      <c r="J42" s="27"/>
      <c r="K42" s="28"/>
      <c r="L42" s="38"/>
      <c r="M42" s="138"/>
      <c r="N42" s="139"/>
      <c r="O42" s="38"/>
    </row>
    <row r="43" spans="2:15" ht="15.95" customHeight="1" x14ac:dyDescent="0.25">
      <c r="B43" s="1"/>
      <c r="C43" s="8"/>
      <c r="D43" s="5"/>
      <c r="E43" s="29" t="s">
        <v>6</v>
      </c>
      <c r="F43" s="30"/>
      <c r="G43" s="75">
        <v>5.8796296296296296E-3</v>
      </c>
      <c r="H43" s="76"/>
      <c r="I43" s="122" t="s">
        <v>7</v>
      </c>
      <c r="J43" s="67"/>
      <c r="K43" s="68"/>
      <c r="L43" s="122" t="s">
        <v>7</v>
      </c>
      <c r="M43" s="75">
        <v>1.7592592592592592E-3</v>
      </c>
      <c r="N43" s="76"/>
      <c r="O43" s="122" t="s">
        <v>7</v>
      </c>
    </row>
    <row r="44" spans="2:15" ht="15.95" customHeight="1" thickBot="1" x14ac:dyDescent="0.3">
      <c r="B44" s="2"/>
      <c r="C44" s="3"/>
      <c r="D44" s="6"/>
      <c r="E44" s="31"/>
      <c r="F44" s="32"/>
      <c r="G44" s="77"/>
      <c r="H44" s="78"/>
      <c r="I44" s="123"/>
      <c r="J44" s="69"/>
      <c r="K44" s="70"/>
      <c r="L44" s="123"/>
      <c r="M44" s="77"/>
      <c r="N44" s="78"/>
      <c r="O44" s="123"/>
    </row>
    <row r="45" spans="2:15" ht="15" customHeight="1" x14ac:dyDescent="0.25">
      <c r="B45" s="152"/>
      <c r="C45" s="153"/>
      <c r="D45" s="153"/>
      <c r="E45" s="153" t="s">
        <v>10</v>
      </c>
      <c r="F45" s="153"/>
      <c r="G45" s="153"/>
      <c r="H45" s="153"/>
      <c r="I45" s="153"/>
      <c r="J45" s="153"/>
      <c r="K45" s="153"/>
      <c r="L45" s="153"/>
      <c r="M45" s="153"/>
      <c r="N45" s="153"/>
      <c r="O45" s="156"/>
    </row>
    <row r="46" spans="2:15" ht="15" customHeight="1" thickBot="1" x14ac:dyDescent="0.3">
      <c r="B46" s="154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7"/>
    </row>
    <row r="47" spans="2:15" ht="8.25" customHeight="1" x14ac:dyDescent="0.25">
      <c r="B47" s="71" t="s">
        <v>12</v>
      </c>
      <c r="C47" s="72"/>
      <c r="D47" s="72"/>
      <c r="E47" s="72"/>
      <c r="F47" s="101"/>
      <c r="G47" s="71" t="s">
        <v>59</v>
      </c>
      <c r="H47" s="72"/>
      <c r="I47" s="72"/>
      <c r="J47" s="71"/>
      <c r="K47" s="72"/>
      <c r="L47" s="72"/>
      <c r="M47" s="71" t="s">
        <v>61</v>
      </c>
      <c r="N47" s="72"/>
      <c r="O47" s="72"/>
    </row>
    <row r="48" spans="2:15" ht="23.1" customHeight="1" thickBot="1" x14ac:dyDescent="0.3">
      <c r="B48" s="73"/>
      <c r="C48" s="74"/>
      <c r="D48" s="74"/>
      <c r="E48" s="74"/>
      <c r="F48" s="102"/>
      <c r="G48" s="73"/>
      <c r="H48" s="74"/>
      <c r="I48" s="74"/>
      <c r="J48" s="73"/>
      <c r="K48" s="74"/>
      <c r="L48" s="74"/>
      <c r="M48" s="73"/>
      <c r="N48" s="74"/>
      <c r="O48" s="74"/>
    </row>
    <row r="49" spans="1:15" ht="14.1" customHeight="1" x14ac:dyDescent="0.25">
      <c r="B49" s="57" t="s">
        <v>9</v>
      </c>
      <c r="C49" s="58"/>
      <c r="D49" s="118" t="s">
        <v>8</v>
      </c>
      <c r="E49" s="118"/>
      <c r="F49" s="119"/>
      <c r="G49" s="61" t="s">
        <v>63</v>
      </c>
      <c r="H49" s="63" t="s">
        <v>11</v>
      </c>
      <c r="I49" s="64"/>
      <c r="J49" s="61"/>
      <c r="K49" s="63"/>
      <c r="L49" s="64"/>
      <c r="M49" s="61" t="s">
        <v>63</v>
      </c>
      <c r="N49" s="63" t="s">
        <v>11</v>
      </c>
      <c r="O49" s="64"/>
    </row>
    <row r="50" spans="1:15" ht="14.1" customHeight="1" thickBot="1" x14ac:dyDescent="0.3">
      <c r="B50" s="59"/>
      <c r="C50" s="60"/>
      <c r="D50" s="120"/>
      <c r="E50" s="120"/>
      <c r="F50" s="121"/>
      <c r="G50" s="62"/>
      <c r="H50" s="65"/>
      <c r="I50" s="66"/>
      <c r="J50" s="62"/>
      <c r="K50" s="65"/>
      <c r="L50" s="66"/>
      <c r="M50" s="62"/>
      <c r="N50" s="65"/>
      <c r="O50" s="66"/>
    </row>
    <row r="51" spans="1:15" ht="14.1" customHeight="1" x14ac:dyDescent="0.25">
      <c r="B51" s="97">
        <v>0.4</v>
      </c>
      <c r="C51" s="98"/>
      <c r="D51" s="87" t="s">
        <v>19</v>
      </c>
      <c r="E51" s="87"/>
      <c r="F51" s="88"/>
      <c r="G51" s="89" t="s">
        <v>22</v>
      </c>
      <c r="H51" s="79" t="s">
        <v>24</v>
      </c>
      <c r="I51" s="80"/>
      <c r="J51" s="91"/>
      <c r="K51" s="93"/>
      <c r="L51" s="94"/>
      <c r="M51" s="89" t="s">
        <v>22</v>
      </c>
      <c r="N51" s="79" t="s">
        <v>24</v>
      </c>
      <c r="O51" s="80"/>
    </row>
    <row r="52" spans="1:15" ht="14.1" customHeight="1" thickBot="1" x14ac:dyDescent="0.3">
      <c r="B52" s="99"/>
      <c r="C52" s="100"/>
      <c r="D52" s="84" t="s">
        <v>18</v>
      </c>
      <c r="E52" s="84"/>
      <c r="F52" s="85"/>
      <c r="G52" s="90"/>
      <c r="H52" s="81"/>
      <c r="I52" s="82"/>
      <c r="J52" s="92"/>
      <c r="K52" s="95"/>
      <c r="L52" s="96"/>
      <c r="M52" s="90"/>
      <c r="N52" s="81"/>
      <c r="O52" s="82"/>
    </row>
    <row r="53" spans="1:15" ht="14.1" customHeight="1" x14ac:dyDescent="0.25">
      <c r="B53" s="97">
        <v>0.6</v>
      </c>
      <c r="C53" s="98"/>
      <c r="D53" s="86" t="s">
        <v>20</v>
      </c>
      <c r="E53" s="87"/>
      <c r="F53" s="88"/>
      <c r="G53" s="89" t="s">
        <v>23</v>
      </c>
      <c r="H53" s="79" t="s">
        <v>24</v>
      </c>
      <c r="I53" s="80"/>
      <c r="J53" s="91"/>
      <c r="K53" s="93"/>
      <c r="L53" s="94"/>
      <c r="M53" s="89" t="s">
        <v>62</v>
      </c>
      <c r="N53" s="79" t="s">
        <v>24</v>
      </c>
      <c r="O53" s="80"/>
    </row>
    <row r="54" spans="1:15" ht="14.1" customHeight="1" thickBot="1" x14ac:dyDescent="0.3">
      <c r="B54" s="99"/>
      <c r="C54" s="100"/>
      <c r="D54" s="83" t="s">
        <v>21</v>
      </c>
      <c r="E54" s="84"/>
      <c r="F54" s="85"/>
      <c r="G54" s="90"/>
      <c r="H54" s="81"/>
      <c r="I54" s="82"/>
      <c r="J54" s="92"/>
      <c r="K54" s="95"/>
      <c r="L54" s="96"/>
      <c r="M54" s="90"/>
      <c r="N54" s="81"/>
      <c r="O54" s="82"/>
    </row>
    <row r="55" spans="1:15" ht="12" customHeight="1" thickBot="1" x14ac:dyDescent="0.3">
      <c r="A55" t="s"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4.1" customHeight="1" x14ac:dyDescent="0.25">
      <c r="B56" s="144" t="s">
        <v>16</v>
      </c>
      <c r="C56" s="145"/>
      <c r="D56" s="146"/>
      <c r="E56" s="19" t="s">
        <v>1</v>
      </c>
      <c r="F56" s="20"/>
      <c r="G56" s="20"/>
      <c r="H56" s="20"/>
      <c r="I56" s="20"/>
      <c r="J56" s="20"/>
      <c r="K56" s="20"/>
      <c r="L56" s="20"/>
      <c r="M56" s="20"/>
      <c r="N56" s="20"/>
      <c r="O56" s="21"/>
    </row>
    <row r="57" spans="1:15" ht="14.1" customHeight="1" thickBot="1" x14ac:dyDescent="0.3">
      <c r="B57" s="147"/>
      <c r="C57" s="148"/>
      <c r="D57" s="149"/>
      <c r="E57" s="22"/>
      <c r="F57" s="23"/>
      <c r="G57" s="23"/>
      <c r="H57" s="23"/>
      <c r="I57" s="23"/>
      <c r="J57" s="23"/>
      <c r="K57" s="23"/>
      <c r="L57" s="23"/>
      <c r="M57" s="23"/>
      <c r="N57" s="23"/>
      <c r="O57" s="24"/>
    </row>
    <row r="58" spans="1:15" ht="12.95" customHeight="1" x14ac:dyDescent="0.25">
      <c r="B58" s="1"/>
      <c r="C58" s="8"/>
      <c r="D58" s="4"/>
      <c r="E58" s="103" t="s">
        <v>25</v>
      </c>
      <c r="F58" s="104"/>
      <c r="G58" s="104"/>
      <c r="H58" s="104"/>
      <c r="I58" s="104"/>
      <c r="J58" s="104"/>
      <c r="K58" s="104"/>
      <c r="L58" s="104"/>
      <c r="M58" s="104"/>
      <c r="N58" s="104"/>
      <c r="O58" s="105"/>
    </row>
    <row r="59" spans="1:15" ht="12.95" customHeight="1" x14ac:dyDescent="0.25">
      <c r="B59" s="1"/>
      <c r="C59" s="8"/>
      <c r="D59" s="5"/>
      <c r="E59" s="106"/>
      <c r="F59" s="107"/>
      <c r="G59" s="107"/>
      <c r="H59" s="107"/>
      <c r="I59" s="107"/>
      <c r="J59" s="107"/>
      <c r="K59" s="107"/>
      <c r="L59" s="107"/>
      <c r="M59" s="107"/>
      <c r="N59" s="107"/>
      <c r="O59" s="108"/>
    </row>
    <row r="60" spans="1:15" ht="3.75" customHeight="1" x14ac:dyDescent="0.25">
      <c r="B60" s="1"/>
      <c r="C60" s="8"/>
      <c r="D60" s="5"/>
      <c r="E60" s="106"/>
      <c r="F60" s="107"/>
      <c r="G60" s="107"/>
      <c r="H60" s="107"/>
      <c r="I60" s="107"/>
      <c r="J60" s="107"/>
      <c r="K60" s="107"/>
      <c r="L60" s="107"/>
      <c r="M60" s="107"/>
      <c r="N60" s="107"/>
      <c r="O60" s="108"/>
    </row>
    <row r="61" spans="1:15" ht="4.5" customHeight="1" thickBot="1" x14ac:dyDescent="0.3">
      <c r="B61" s="1"/>
      <c r="C61" s="8"/>
      <c r="D61" s="5"/>
      <c r="E61" s="109"/>
      <c r="F61" s="110"/>
      <c r="G61" s="110"/>
      <c r="H61" s="110"/>
      <c r="I61" s="110"/>
      <c r="J61" s="110"/>
      <c r="K61" s="110"/>
      <c r="L61" s="110"/>
      <c r="M61" s="110"/>
      <c r="N61" s="110"/>
      <c r="O61" s="111"/>
    </row>
    <row r="62" spans="1:15" ht="15.95" customHeight="1" x14ac:dyDescent="0.25">
      <c r="B62" s="1"/>
      <c r="C62" s="8"/>
      <c r="D62" s="5"/>
      <c r="E62" s="29" t="s">
        <v>3</v>
      </c>
      <c r="F62" s="30"/>
      <c r="G62" s="51" t="s">
        <v>58</v>
      </c>
      <c r="H62" s="52"/>
      <c r="I62" s="52"/>
      <c r="J62" s="52"/>
      <c r="K62" s="52"/>
      <c r="L62" s="52"/>
      <c r="M62" s="52"/>
      <c r="N62" s="52"/>
      <c r="O62" s="53"/>
    </row>
    <row r="63" spans="1:15" ht="15.95" customHeight="1" thickBot="1" x14ac:dyDescent="0.3">
      <c r="B63" s="1"/>
      <c r="C63" s="8"/>
      <c r="D63" s="5"/>
      <c r="E63" s="31"/>
      <c r="F63" s="32"/>
      <c r="G63" s="54"/>
      <c r="H63" s="55"/>
      <c r="I63" s="55"/>
      <c r="J63" s="55"/>
      <c r="K63" s="55"/>
      <c r="L63" s="55"/>
      <c r="M63" s="55"/>
      <c r="N63" s="55"/>
      <c r="O63" s="56"/>
    </row>
    <row r="64" spans="1:15" ht="15.95" customHeight="1" x14ac:dyDescent="0.25">
      <c r="B64" s="1"/>
      <c r="C64" s="8"/>
      <c r="D64" s="5"/>
      <c r="E64" s="29" t="s">
        <v>2</v>
      </c>
      <c r="F64" s="30"/>
      <c r="G64" s="39" t="s">
        <v>14</v>
      </c>
      <c r="H64" s="40"/>
      <c r="I64" s="41"/>
      <c r="J64" s="140"/>
      <c r="K64" s="141"/>
      <c r="L64" s="37"/>
      <c r="M64" s="45" t="s">
        <v>27</v>
      </c>
      <c r="N64" s="46"/>
      <c r="O64" s="47"/>
    </row>
    <row r="65" spans="2:15" ht="15.95" customHeight="1" thickBot="1" x14ac:dyDescent="0.3">
      <c r="B65" s="1"/>
      <c r="C65" s="8"/>
      <c r="D65" s="5"/>
      <c r="E65" s="31"/>
      <c r="F65" s="32"/>
      <c r="G65" s="42"/>
      <c r="H65" s="43"/>
      <c r="I65" s="44"/>
      <c r="J65" s="142"/>
      <c r="K65" s="143"/>
      <c r="L65" s="38"/>
      <c r="M65" s="48"/>
      <c r="N65" s="49"/>
      <c r="O65" s="50"/>
    </row>
    <row r="66" spans="2:15" ht="15.95" customHeight="1" x14ac:dyDescent="0.25">
      <c r="B66" s="1"/>
      <c r="C66" s="8"/>
      <c r="D66" s="5"/>
      <c r="E66" s="33" t="s">
        <v>4</v>
      </c>
      <c r="F66" s="34"/>
      <c r="G66" s="39" t="s">
        <v>60</v>
      </c>
      <c r="H66" s="40"/>
      <c r="I66" s="41"/>
      <c r="J66" s="112" t="s">
        <v>15</v>
      </c>
      <c r="K66" s="113"/>
      <c r="L66" s="114"/>
      <c r="M66" s="39" t="s">
        <v>67</v>
      </c>
      <c r="N66" s="40"/>
      <c r="O66" s="41"/>
    </row>
    <row r="67" spans="2:15" ht="15.95" customHeight="1" thickBot="1" x14ac:dyDescent="0.3">
      <c r="B67" s="1"/>
      <c r="C67" s="8"/>
      <c r="D67" s="5"/>
      <c r="E67" s="35"/>
      <c r="F67" s="36"/>
      <c r="G67" s="42"/>
      <c r="H67" s="43"/>
      <c r="I67" s="44"/>
      <c r="J67" s="115"/>
      <c r="K67" s="116"/>
      <c r="L67" s="117"/>
      <c r="M67" s="42"/>
      <c r="N67" s="43"/>
      <c r="O67" s="44"/>
    </row>
    <row r="68" spans="2:15" ht="15.95" customHeight="1" x14ac:dyDescent="0.25">
      <c r="B68" s="1"/>
      <c r="C68" s="8"/>
      <c r="D68" s="5"/>
      <c r="E68" s="29" t="s">
        <v>13</v>
      </c>
      <c r="F68" s="30"/>
      <c r="G68" s="25">
        <f>192*110%</f>
        <v>211.20000000000002</v>
      </c>
      <c r="H68" s="26"/>
      <c r="I68" s="37" t="s">
        <v>5</v>
      </c>
      <c r="J68" s="25"/>
      <c r="K68" s="26"/>
      <c r="L68" s="37" t="s">
        <v>5</v>
      </c>
      <c r="M68" s="136">
        <f>39*110%</f>
        <v>42.900000000000006</v>
      </c>
      <c r="N68" s="137"/>
      <c r="O68" s="37" t="s">
        <v>5</v>
      </c>
    </row>
    <row r="69" spans="2:15" ht="15.95" customHeight="1" thickBot="1" x14ac:dyDescent="0.3">
      <c r="B69" s="1"/>
      <c r="C69" s="8"/>
      <c r="D69" s="5"/>
      <c r="E69" s="31"/>
      <c r="F69" s="32"/>
      <c r="G69" s="27"/>
      <c r="H69" s="28"/>
      <c r="I69" s="38"/>
      <c r="J69" s="27"/>
      <c r="K69" s="28"/>
      <c r="L69" s="38"/>
      <c r="M69" s="138"/>
      <c r="N69" s="139"/>
      <c r="O69" s="38"/>
    </row>
    <row r="70" spans="2:15" ht="15.95" customHeight="1" x14ac:dyDescent="0.25">
      <c r="B70" s="1"/>
      <c r="C70" s="8"/>
      <c r="D70" s="5"/>
      <c r="E70" s="29" t="s">
        <v>6</v>
      </c>
      <c r="F70" s="30"/>
      <c r="G70" s="75">
        <v>4.2824074074074075E-3</v>
      </c>
      <c r="H70" s="76"/>
      <c r="I70" s="122" t="s">
        <v>7</v>
      </c>
      <c r="J70" s="67"/>
      <c r="K70" s="68"/>
      <c r="L70" s="122" t="s">
        <v>7</v>
      </c>
      <c r="M70" s="75">
        <v>1.4236111111111112E-3</v>
      </c>
      <c r="N70" s="76"/>
      <c r="O70" s="122" t="s">
        <v>7</v>
      </c>
    </row>
    <row r="71" spans="2:15" ht="15.95" customHeight="1" thickBot="1" x14ac:dyDescent="0.3">
      <c r="B71" s="2"/>
      <c r="C71" s="3"/>
      <c r="D71" s="6"/>
      <c r="E71" s="31"/>
      <c r="F71" s="32"/>
      <c r="G71" s="77"/>
      <c r="H71" s="78"/>
      <c r="I71" s="123"/>
      <c r="J71" s="69"/>
      <c r="K71" s="70"/>
      <c r="L71" s="123"/>
      <c r="M71" s="77"/>
      <c r="N71" s="78"/>
      <c r="O71" s="123"/>
    </row>
    <row r="72" spans="2:15" ht="15" customHeight="1" x14ac:dyDescent="0.25">
      <c r="B72" s="152"/>
      <c r="C72" s="153"/>
      <c r="D72" s="153"/>
      <c r="E72" s="153" t="s">
        <v>10</v>
      </c>
      <c r="F72" s="153"/>
      <c r="G72" s="153"/>
      <c r="H72" s="153"/>
      <c r="I72" s="153"/>
      <c r="J72" s="153"/>
      <c r="K72" s="153"/>
      <c r="L72" s="153"/>
      <c r="M72" s="153"/>
      <c r="N72" s="153"/>
      <c r="O72" s="156"/>
    </row>
    <row r="73" spans="2:15" ht="15" customHeight="1" thickBot="1" x14ac:dyDescent="0.3">
      <c r="B73" s="154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7"/>
    </row>
    <row r="74" spans="2:15" ht="8.25" customHeight="1" x14ac:dyDescent="0.25">
      <c r="B74" s="71" t="s">
        <v>12</v>
      </c>
      <c r="C74" s="72"/>
      <c r="D74" s="72"/>
      <c r="E74" s="72"/>
      <c r="F74" s="101"/>
      <c r="G74" s="71" t="s">
        <v>61</v>
      </c>
      <c r="H74" s="72"/>
      <c r="I74" s="72"/>
      <c r="J74" s="71"/>
      <c r="K74" s="72"/>
      <c r="L74" s="72"/>
      <c r="M74" s="71" t="s">
        <v>68</v>
      </c>
      <c r="N74" s="72"/>
      <c r="O74" s="72"/>
    </row>
    <row r="75" spans="2:15" ht="23.1" customHeight="1" thickBot="1" x14ac:dyDescent="0.3">
      <c r="B75" s="73"/>
      <c r="C75" s="74"/>
      <c r="D75" s="74"/>
      <c r="E75" s="74"/>
      <c r="F75" s="102"/>
      <c r="G75" s="73"/>
      <c r="H75" s="74"/>
      <c r="I75" s="74"/>
      <c r="J75" s="73"/>
      <c r="K75" s="74"/>
      <c r="L75" s="74"/>
      <c r="M75" s="73"/>
      <c r="N75" s="74"/>
      <c r="O75" s="74"/>
    </row>
    <row r="76" spans="2:15" ht="14.1" customHeight="1" x14ac:dyDescent="0.25">
      <c r="B76" s="57" t="s">
        <v>9</v>
      </c>
      <c r="C76" s="58"/>
      <c r="D76" s="118" t="s">
        <v>8</v>
      </c>
      <c r="E76" s="118"/>
      <c r="F76" s="119"/>
      <c r="G76" s="61" t="s">
        <v>63</v>
      </c>
      <c r="H76" s="63" t="s">
        <v>11</v>
      </c>
      <c r="I76" s="64"/>
      <c r="J76" s="61"/>
      <c r="K76" s="63"/>
      <c r="L76" s="64"/>
      <c r="M76" s="61" t="s">
        <v>63</v>
      </c>
      <c r="N76" s="63" t="s">
        <v>11</v>
      </c>
      <c r="O76" s="64"/>
    </row>
    <row r="77" spans="2:15" ht="14.1" customHeight="1" thickBot="1" x14ac:dyDescent="0.3">
      <c r="B77" s="59"/>
      <c r="C77" s="60"/>
      <c r="D77" s="120"/>
      <c r="E77" s="120"/>
      <c r="F77" s="121"/>
      <c r="G77" s="62"/>
      <c r="H77" s="65"/>
      <c r="I77" s="66"/>
      <c r="J77" s="62"/>
      <c r="K77" s="65"/>
      <c r="L77" s="66"/>
      <c r="M77" s="62"/>
      <c r="N77" s="65"/>
      <c r="O77" s="66"/>
    </row>
    <row r="78" spans="2:15" ht="14.1" customHeight="1" x14ac:dyDescent="0.25">
      <c r="B78" s="97">
        <v>0.4</v>
      </c>
      <c r="C78" s="98"/>
      <c r="D78" s="87" t="s">
        <v>19</v>
      </c>
      <c r="E78" s="87"/>
      <c r="F78" s="88"/>
      <c r="G78" s="89" t="s">
        <v>22</v>
      </c>
      <c r="H78" s="79" t="s">
        <v>24</v>
      </c>
      <c r="I78" s="80"/>
      <c r="J78" s="91"/>
      <c r="K78" s="93"/>
      <c r="L78" s="94"/>
      <c r="M78" s="89" t="s">
        <v>22</v>
      </c>
      <c r="N78" s="79" t="s">
        <v>24</v>
      </c>
      <c r="O78" s="80"/>
    </row>
    <row r="79" spans="2:15" ht="14.1" customHeight="1" thickBot="1" x14ac:dyDescent="0.3">
      <c r="B79" s="99"/>
      <c r="C79" s="100"/>
      <c r="D79" s="84" t="s">
        <v>18</v>
      </c>
      <c r="E79" s="84"/>
      <c r="F79" s="85"/>
      <c r="G79" s="90"/>
      <c r="H79" s="81"/>
      <c r="I79" s="82"/>
      <c r="J79" s="92"/>
      <c r="K79" s="95"/>
      <c r="L79" s="96"/>
      <c r="M79" s="90"/>
      <c r="N79" s="81"/>
      <c r="O79" s="82"/>
    </row>
    <row r="80" spans="2:15" ht="14.1" customHeight="1" x14ac:dyDescent="0.25">
      <c r="B80" s="97">
        <v>0.6</v>
      </c>
      <c r="C80" s="98"/>
      <c r="D80" s="86" t="s">
        <v>20</v>
      </c>
      <c r="E80" s="87"/>
      <c r="F80" s="88"/>
      <c r="G80" s="89" t="s">
        <v>62</v>
      </c>
      <c r="H80" s="79" t="s">
        <v>24</v>
      </c>
      <c r="I80" s="80"/>
      <c r="J80" s="91"/>
      <c r="K80" s="93"/>
      <c r="L80" s="94"/>
      <c r="M80" s="89" t="s">
        <v>62</v>
      </c>
      <c r="N80" s="79" t="s">
        <v>24</v>
      </c>
      <c r="O80" s="80"/>
    </row>
    <row r="81" spans="2:15" ht="14.1" customHeight="1" thickBot="1" x14ac:dyDescent="0.3">
      <c r="B81" s="99"/>
      <c r="C81" s="100"/>
      <c r="D81" s="83" t="s">
        <v>21</v>
      </c>
      <c r="E81" s="84"/>
      <c r="F81" s="85"/>
      <c r="G81" s="90"/>
      <c r="H81" s="81"/>
      <c r="I81" s="82"/>
      <c r="J81" s="92"/>
      <c r="K81" s="95"/>
      <c r="L81" s="96"/>
      <c r="M81" s="90"/>
      <c r="N81" s="81"/>
      <c r="O81" s="82"/>
    </row>
    <row r="82" spans="2:15" ht="15.75" customHeight="1" x14ac:dyDescent="0.25"/>
    <row r="83" spans="2:15" ht="15.75" customHeight="1" x14ac:dyDescent="0.25"/>
    <row r="84" spans="2:15" ht="15.75" customHeight="1" x14ac:dyDescent="0.25"/>
    <row r="85" spans="2:15" ht="15.75" customHeight="1" x14ac:dyDescent="0.25"/>
    <row r="86" spans="2:15" ht="15.75" customHeight="1" x14ac:dyDescent="0.25"/>
    <row r="87" spans="2:15" ht="15.75" customHeight="1" x14ac:dyDescent="0.25"/>
    <row r="88" spans="2:15" ht="15.75" customHeight="1" x14ac:dyDescent="0.25"/>
    <row r="89" spans="2:15" ht="15.75" customHeight="1" x14ac:dyDescent="0.25"/>
    <row r="90" spans="2:15" ht="15.75" customHeight="1" x14ac:dyDescent="0.25"/>
    <row r="91" spans="2:15" ht="15.75" customHeight="1" x14ac:dyDescent="0.25"/>
    <row r="92" spans="2:15" ht="15.75" customHeight="1" x14ac:dyDescent="0.25"/>
    <row r="93" spans="2:15" ht="15.75" customHeight="1" x14ac:dyDescent="0.25"/>
    <row r="94" spans="2:15" ht="15.75" customHeight="1" x14ac:dyDescent="0.25"/>
    <row r="95" spans="2:15" ht="15.75" customHeight="1" x14ac:dyDescent="0.25"/>
    <row r="96" spans="2:1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</sheetData>
  <mergeCells count="177">
    <mergeCell ref="K80:L81"/>
    <mergeCell ref="M80:M81"/>
    <mergeCell ref="N80:O81"/>
    <mergeCell ref="D81:F81"/>
    <mergeCell ref="D79:F79"/>
    <mergeCell ref="B80:C81"/>
    <mergeCell ref="D80:F80"/>
    <mergeCell ref="G80:G81"/>
    <mergeCell ref="H80:I81"/>
    <mergeCell ref="J80:J81"/>
    <mergeCell ref="M76:M77"/>
    <mergeCell ref="N76:O77"/>
    <mergeCell ref="B78:C79"/>
    <mergeCell ref="D78:F78"/>
    <mergeCell ref="G78:G79"/>
    <mergeCell ref="H78:I79"/>
    <mergeCell ref="J78:J79"/>
    <mergeCell ref="K78:L79"/>
    <mergeCell ref="M78:M79"/>
    <mergeCell ref="N78:O79"/>
    <mergeCell ref="B76:C77"/>
    <mergeCell ref="D76:F77"/>
    <mergeCell ref="G76:G77"/>
    <mergeCell ref="H76:I77"/>
    <mergeCell ref="J76:J77"/>
    <mergeCell ref="K76:L77"/>
    <mergeCell ref="B72:D73"/>
    <mergeCell ref="E72:O73"/>
    <mergeCell ref="B74:F75"/>
    <mergeCell ref="G74:I75"/>
    <mergeCell ref="J74:L75"/>
    <mergeCell ref="M74:O75"/>
    <mergeCell ref="O68:O69"/>
    <mergeCell ref="E70:F71"/>
    <mergeCell ref="G70:H71"/>
    <mergeCell ref="I70:I71"/>
    <mergeCell ref="J70:K71"/>
    <mergeCell ref="L70:L71"/>
    <mergeCell ref="M70:N71"/>
    <mergeCell ref="O70:O71"/>
    <mergeCell ref="E66:F67"/>
    <mergeCell ref="G66:I67"/>
    <mergeCell ref="J66:L67"/>
    <mergeCell ref="M66:O67"/>
    <mergeCell ref="E68:F69"/>
    <mergeCell ref="G68:H69"/>
    <mergeCell ref="I68:I69"/>
    <mergeCell ref="J68:K69"/>
    <mergeCell ref="L68:L69"/>
    <mergeCell ref="M68:N69"/>
    <mergeCell ref="E58:O61"/>
    <mergeCell ref="E62:F63"/>
    <mergeCell ref="G62:O63"/>
    <mergeCell ref="E64:F65"/>
    <mergeCell ref="G64:I65"/>
    <mergeCell ref="J64:L65"/>
    <mergeCell ref="M64:O65"/>
    <mergeCell ref="K53:L54"/>
    <mergeCell ref="M53:M54"/>
    <mergeCell ref="N53:O54"/>
    <mergeCell ref="D54:F54"/>
    <mergeCell ref="B56:D57"/>
    <mergeCell ref="E56:O57"/>
    <mergeCell ref="D52:F52"/>
    <mergeCell ref="B53:C54"/>
    <mergeCell ref="D53:F53"/>
    <mergeCell ref="G53:G54"/>
    <mergeCell ref="H53:I54"/>
    <mergeCell ref="J53:J54"/>
    <mergeCell ref="M49:M50"/>
    <mergeCell ref="N49:O50"/>
    <mergeCell ref="B51:C52"/>
    <mergeCell ref="D51:F51"/>
    <mergeCell ref="G51:G52"/>
    <mergeCell ref="H51:I52"/>
    <mergeCell ref="J51:J52"/>
    <mergeCell ref="K51:L52"/>
    <mergeCell ref="M51:M52"/>
    <mergeCell ref="N51:O52"/>
    <mergeCell ref="B49:C50"/>
    <mergeCell ref="D49:F50"/>
    <mergeCell ref="G49:G50"/>
    <mergeCell ref="H49:I50"/>
    <mergeCell ref="J49:J50"/>
    <mergeCell ref="K49:L50"/>
    <mergeCell ref="B45:D46"/>
    <mergeCell ref="E45:O46"/>
    <mergeCell ref="B47:F48"/>
    <mergeCell ref="G47:I48"/>
    <mergeCell ref="J47:L48"/>
    <mergeCell ref="M47:O48"/>
    <mergeCell ref="O41:O42"/>
    <mergeCell ref="E43:F44"/>
    <mergeCell ref="G43:H44"/>
    <mergeCell ref="I43:I44"/>
    <mergeCell ref="J43:K44"/>
    <mergeCell ref="L43:L44"/>
    <mergeCell ref="M43:N44"/>
    <mergeCell ref="O43:O44"/>
    <mergeCell ref="E39:F40"/>
    <mergeCell ref="G39:I40"/>
    <mergeCell ref="J39:L40"/>
    <mergeCell ref="M39:O40"/>
    <mergeCell ref="E41:F42"/>
    <mergeCell ref="G41:H42"/>
    <mergeCell ref="I41:I42"/>
    <mergeCell ref="J41:K42"/>
    <mergeCell ref="L41:L42"/>
    <mergeCell ref="M41:N42"/>
    <mergeCell ref="E31:O34"/>
    <mergeCell ref="E35:F36"/>
    <mergeCell ref="G35:O36"/>
    <mergeCell ref="E37:F38"/>
    <mergeCell ref="G37:I38"/>
    <mergeCell ref="J37:L38"/>
    <mergeCell ref="M37:O38"/>
    <mergeCell ref="K26:L27"/>
    <mergeCell ref="M26:M27"/>
    <mergeCell ref="N26:O27"/>
    <mergeCell ref="D27:F27"/>
    <mergeCell ref="B29:D30"/>
    <mergeCell ref="E29:O30"/>
    <mergeCell ref="D25:F25"/>
    <mergeCell ref="B26:C27"/>
    <mergeCell ref="D26:F26"/>
    <mergeCell ref="G26:G27"/>
    <mergeCell ref="H26:I27"/>
    <mergeCell ref="J26:J27"/>
    <mergeCell ref="M22:M23"/>
    <mergeCell ref="N22:O23"/>
    <mergeCell ref="B24:C25"/>
    <mergeCell ref="D24:F24"/>
    <mergeCell ref="G24:G25"/>
    <mergeCell ref="H24:I25"/>
    <mergeCell ref="J24:J25"/>
    <mergeCell ref="K24:L25"/>
    <mergeCell ref="M24:M25"/>
    <mergeCell ref="N24:O25"/>
    <mergeCell ref="B22:C23"/>
    <mergeCell ref="D22:F23"/>
    <mergeCell ref="G22:G23"/>
    <mergeCell ref="H22:I23"/>
    <mergeCell ref="J22:J23"/>
    <mergeCell ref="K22:L23"/>
    <mergeCell ref="B18:D19"/>
    <mergeCell ref="E18:O19"/>
    <mergeCell ref="B20:F21"/>
    <mergeCell ref="G20:I21"/>
    <mergeCell ref="J20:L21"/>
    <mergeCell ref="M20:O21"/>
    <mergeCell ref="O14:O15"/>
    <mergeCell ref="E16:F17"/>
    <mergeCell ref="G16:H17"/>
    <mergeCell ref="I16:I17"/>
    <mergeCell ref="J16:K17"/>
    <mergeCell ref="L16:L17"/>
    <mergeCell ref="M16:N17"/>
    <mergeCell ref="O16:O17"/>
    <mergeCell ref="E12:F13"/>
    <mergeCell ref="G12:I13"/>
    <mergeCell ref="J12:L13"/>
    <mergeCell ref="M12:O13"/>
    <mergeCell ref="E14:F15"/>
    <mergeCell ref="G14:H15"/>
    <mergeCell ref="I14:I15"/>
    <mergeCell ref="J14:K15"/>
    <mergeCell ref="L14:L15"/>
    <mergeCell ref="M14:N15"/>
    <mergeCell ref="B2:D3"/>
    <mergeCell ref="E2:O3"/>
    <mergeCell ref="E4:O7"/>
    <mergeCell ref="E8:F9"/>
    <mergeCell ref="G8:O9"/>
    <mergeCell ref="E10:F11"/>
    <mergeCell ref="G10:I11"/>
    <mergeCell ref="J10:L11"/>
    <mergeCell ref="M10:O11"/>
  </mergeCells>
  <printOptions horizontalCentered="1"/>
  <pageMargins left="0.17" right="0.11811023622047245" top="0.27559055118110237" bottom="0" header="0.19685039370078741" footer="0"/>
  <pageSetup paperSize="5" scale="88" fitToHeight="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FICHA TECNICA</vt:lpstr>
      <vt:lpstr>CONFECCION</vt:lpstr>
      <vt:lpstr>FICHA ANTERIOR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2026-02-13T22:07:09Z</cp:lastPrinted>
  <dcterms:created xsi:type="dcterms:W3CDTF">2023-10-31T20:19:37Z</dcterms:created>
  <dcterms:modified xsi:type="dcterms:W3CDTF">2026-02-13T22:10:38Z</dcterms:modified>
  <dc:language>es-MX</dc:language>
</cp:coreProperties>
</file>