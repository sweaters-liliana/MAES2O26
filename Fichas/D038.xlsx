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NDREA\D038 BOXER DESLAVADO\"/>
    </mc:Choice>
  </mc:AlternateContent>
  <xr:revisionPtr revIDLastSave="0" documentId="13_ncr:1_{B8579AA1-FFB1-4B1A-AC69-458ABCA7B3A6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D036" sheetId="1" r:id="rId1"/>
    <sheet name="DATA" sheetId="5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L14" i="1"/>
</calcChain>
</file>

<file path=xl/sharedStrings.xml><?xml version="1.0" encoding="utf-8"?>
<sst xmlns="http://schemas.openxmlformats.org/spreadsheetml/2006/main" count="102" uniqueCount="41">
  <si>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</si>
  <si>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</si>
  <si>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</si>
  <si>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</si>
  <si>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</si>
  <si>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</si>
  <si>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</si>
  <si>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</si>
  <si>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</si>
  <si>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</si>
  <si>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</si>
  <si>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</si>
  <si>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</si>
  <si>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</si>
  <si>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</si>
  <si>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G. HILO</t>
  </si>
  <si>
    <t>20/70/68</t>
  </si>
  <si>
    <t>TOP</t>
  </si>
  <si>
    <t>FORRO</t>
  </si>
  <si>
    <t>MEDIANA</t>
  </si>
  <si>
    <t>GRANDE</t>
  </si>
  <si>
    <t>OBSERVACIONES</t>
  </si>
  <si>
    <t>-</t>
  </si>
  <si>
    <t>CHICA</t>
  </si>
  <si>
    <t>PROGRAMA</t>
  </si>
  <si>
    <t>TIEMPO</t>
  </si>
  <si>
    <t>2 Y 6</t>
  </si>
  <si>
    <t>D038P38M</t>
  </si>
  <si>
    <t>LICRA DESNUDA</t>
  </si>
  <si>
    <t>LICRA</t>
  </si>
  <si>
    <t>GUATEMALA</t>
  </si>
  <si>
    <t>NARANJA</t>
  </si>
  <si>
    <t>D038B38M</t>
  </si>
  <si>
    <t>BOXER</t>
  </si>
  <si>
    <t>PUENTE</t>
  </si>
  <si>
    <t>BOXER DESLAVADO</t>
  </si>
  <si>
    <t>ALGODÓN</t>
  </si>
  <si>
    <t>4 Y 8</t>
  </si>
  <si>
    <t>SALEN 5 PUENTES X LIENZO</t>
  </si>
  <si>
    <t>PESO+10%: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</si>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</sst>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sz val="8"/>
      <color theme="1"/>
      <name val="Consolas"/>
      <family val="3"/>
    </font>
    <font>
      <b/>
      <sz val="8"/>
      <color theme="1"/>
      <name val="Consolas"/>
      <family val="3"/>
    </font>
    <font>
      <b/>
      <sz val="16"/>
      <color theme="0" tint="-4.9989318521683403E-2"/>
      <name val="Consolas"/>
      <family val="3"/>
    </font>
    <font>
      <sz val="11"/>
      <color theme="0" tint="-4.9989318521683403E-2"/>
      <name val="Calibri"/>
      <family val="2"/>
    </font>
    <font>
      <b/>
      <sz val="11"/>
      <color theme="0" tint="-4.9989318521683403E-2"/>
      <name val="Consolas"/>
      <family val="3"/>
    </font>
    <font>
      <sz val="18"/>
      <color theme="0" tint="-4.9989318521683403E-2"/>
      <name val="Consolas"/>
      <family val="3"/>
    </font>
    <font>
      <b/>
      <sz val="24"/>
      <color theme="0" tint="-4.9989318521683403E-2"/>
      <name val="Consolas"/>
      <family val="3"/>
    </font>
    <font>
      <b/>
      <sz val="16"/>
      <color theme="0"/>
      <name val="Consolas"/>
      <family val="3"/>
    </font>
    <font>
      <b/>
      <sz val="14"/>
      <color theme="0"/>
      <name val="Consolas"/>
      <family val="3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CC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</borders>
  <cellStyleXfs count="4">
    <xf numFmtId="0" fontId="0" fillId="0" borderId="0"/>
    <xf numFmtId="0" fontId="11" fillId="0" borderId="0"/>
    <xf numFmtId="0" fontId="12" fillId="0" borderId="0"/>
    <xf numFmtId="9" fontId="11" fillId="0" borderId="0" applyFont="0" applyFill="0" applyBorder="0" applyAlignment="0" applyProtection="0"/>
  </cellStyleXfs>
  <cellXfs count="22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8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16" xfId="0" applyFont="1" applyFill="1" applyBorder="1"/>
    <xf numFmtId="0" fontId="4" fillId="2" borderId="18" xfId="0" applyFont="1" applyFill="1" applyBorder="1"/>
    <xf numFmtId="0" fontId="0" fillId="7" borderId="0" xfId="0" applyFill="1" applyBorder="1"/>
    <xf numFmtId="0" fontId="8" fillId="3" borderId="0" xfId="0" applyFont="1" applyFill="1" applyBorder="1" applyAlignment="1">
      <alignment vertical="center" wrapText="1"/>
    </xf>
    <xf numFmtId="0" fontId="0" fillId="8" borderId="30" xfId="0" applyFill="1" applyBorder="1"/>
    <xf numFmtId="0" fontId="0" fillId="8" borderId="7" xfId="0" applyFill="1" applyBorder="1"/>
    <xf numFmtId="0" fontId="8" fillId="9" borderId="16" xfId="0" applyFont="1" applyFill="1" applyBorder="1" applyAlignment="1">
      <alignment horizontal="center" vertical="center" wrapText="1"/>
    </xf>
    <xf numFmtId="45" fontId="8" fillId="9" borderId="0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45" fontId="8" fillId="9" borderId="5" xfId="0" applyNumberFormat="1" applyFont="1" applyFill="1" applyBorder="1" applyAlignment="1">
      <alignment horizontal="center" vertical="center" wrapText="1"/>
    </xf>
    <xf numFmtId="0" fontId="0" fillId="10" borderId="30" xfId="0" applyFill="1" applyBorder="1"/>
    <xf numFmtId="0" fontId="0" fillId="10" borderId="32" xfId="0" applyFill="1" applyBorder="1"/>
    <xf numFmtId="0" fontId="8" fillId="11" borderId="16" xfId="0" applyFont="1" applyFill="1" applyBorder="1" applyAlignment="1">
      <alignment horizontal="center" vertical="center" wrapText="1"/>
    </xf>
    <xf numFmtId="45" fontId="8" fillId="11" borderId="18" xfId="0" applyNumberFormat="1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45" fontId="8" fillId="11" borderId="6" xfId="0" applyNumberFormat="1" applyFont="1" applyFill="1" applyBorder="1" applyAlignment="1">
      <alignment horizontal="center" vertical="center" wrapText="1"/>
    </xf>
    <xf numFmtId="0" fontId="11" fillId="10" borderId="32" xfId="0" applyFont="1" applyFill="1" applyBorder="1" applyAlignment="1">
      <alignment horizontal="center"/>
    </xf>
    <xf numFmtId="0" fontId="11" fillId="12" borderId="32" xfId="0" applyFont="1" applyFill="1" applyBorder="1" applyAlignment="1">
      <alignment horizontal="center"/>
    </xf>
    <xf numFmtId="0" fontId="0" fillId="12" borderId="32" xfId="0" applyFill="1" applyBorder="1"/>
    <xf numFmtId="0" fontId="0" fillId="12" borderId="30" xfId="0" applyFill="1" applyBorder="1"/>
    <xf numFmtId="0" fontId="8" fillId="13" borderId="16" xfId="0" applyFont="1" applyFill="1" applyBorder="1" applyAlignment="1">
      <alignment horizontal="center" vertical="center" wrapText="1"/>
    </xf>
    <xf numFmtId="45" fontId="8" fillId="13" borderId="18" xfId="0" applyNumberFormat="1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 wrapText="1"/>
    </xf>
    <xf numFmtId="45" fontId="8" fillId="13" borderId="6" xfId="0" applyNumberFormat="1" applyFont="1" applyFill="1" applyBorder="1" applyAlignment="1">
      <alignment horizontal="center" vertical="center" wrapText="1"/>
    </xf>
    <xf numFmtId="0" fontId="0" fillId="14" borderId="30" xfId="0" applyFill="1" applyBorder="1"/>
    <xf numFmtId="0" fontId="0" fillId="14" borderId="7" xfId="0" applyFill="1" applyBorder="1"/>
    <xf numFmtId="0" fontId="8" fillId="15" borderId="16" xfId="0" applyFont="1" applyFill="1" applyBorder="1" applyAlignment="1">
      <alignment horizontal="center" vertical="center" wrapText="1"/>
    </xf>
    <xf numFmtId="45" fontId="8" fillId="15" borderId="0" xfId="0" applyNumberFormat="1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horizontal="center" vertical="center" wrapText="1"/>
    </xf>
    <xf numFmtId="45" fontId="8" fillId="15" borderId="5" xfId="0" applyNumberFormat="1" applyFont="1" applyFill="1" applyBorder="1" applyAlignment="1">
      <alignment horizontal="center" vertical="center" wrapText="1"/>
    </xf>
    <xf numFmtId="0" fontId="0" fillId="19" borderId="30" xfId="0" applyFill="1" applyBorder="1"/>
    <xf numFmtId="0" fontId="0" fillId="19" borderId="7" xfId="0" applyFill="1" applyBorder="1"/>
    <xf numFmtId="0" fontId="8" fillId="20" borderId="16" xfId="0" applyFont="1" applyFill="1" applyBorder="1" applyAlignment="1">
      <alignment horizontal="center" vertical="center" wrapText="1"/>
    </xf>
    <xf numFmtId="45" fontId="8" fillId="20" borderId="0" xfId="0" applyNumberFormat="1" applyFont="1" applyFill="1" applyBorder="1" applyAlignment="1">
      <alignment horizontal="center" vertical="center" wrapText="1"/>
    </xf>
    <xf numFmtId="0" fontId="8" fillId="20" borderId="9" xfId="0" applyFont="1" applyFill="1" applyBorder="1" applyAlignment="1">
      <alignment horizontal="center" vertical="center" wrapText="1"/>
    </xf>
    <xf numFmtId="45" fontId="8" fillId="20" borderId="5" xfId="0" applyNumberFormat="1" applyFont="1" applyFill="1" applyBorder="1" applyAlignment="1">
      <alignment horizontal="center" vertical="center" wrapText="1"/>
    </xf>
    <xf numFmtId="0" fontId="0" fillId="21" borderId="30" xfId="0" applyFill="1" applyBorder="1"/>
    <xf numFmtId="0" fontId="0" fillId="21" borderId="32" xfId="0" applyFill="1" applyBorder="1"/>
    <xf numFmtId="0" fontId="8" fillId="22" borderId="16" xfId="0" applyFont="1" applyFill="1" applyBorder="1" applyAlignment="1">
      <alignment horizontal="center" vertical="center" wrapText="1"/>
    </xf>
    <xf numFmtId="45" fontId="8" fillId="22" borderId="18" xfId="0" applyNumberFormat="1" applyFont="1" applyFill="1" applyBorder="1" applyAlignment="1">
      <alignment horizontal="center" vertical="center" wrapText="1"/>
    </xf>
    <xf numFmtId="0" fontId="8" fillId="22" borderId="9" xfId="0" applyFont="1" applyFill="1" applyBorder="1" applyAlignment="1">
      <alignment horizontal="center" vertical="center" wrapText="1"/>
    </xf>
    <xf numFmtId="45" fontId="8" fillId="22" borderId="6" xfId="0" applyNumberFormat="1" applyFont="1" applyFill="1" applyBorder="1" applyAlignment="1">
      <alignment horizontal="center" vertical="center" wrapText="1"/>
    </xf>
    <xf numFmtId="0" fontId="11" fillId="21" borderId="32" xfId="0" applyFont="1" applyFill="1" applyBorder="1" applyAlignment="1">
      <alignment horizontal="center"/>
    </xf>
    <xf numFmtId="0" fontId="11" fillId="14" borderId="8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11" fillId="19" borderId="3" xfId="0" applyFont="1" applyFill="1" applyBorder="1" applyAlignment="1">
      <alignment horizontal="center"/>
    </xf>
    <xf numFmtId="0" fontId="22" fillId="3" borderId="9" xfId="0" applyFont="1" applyFill="1" applyBorder="1" applyAlignment="1">
      <alignment vertical="center" textRotation="90" wrapText="1"/>
    </xf>
    <xf numFmtId="0" fontId="22" fillId="3" borderId="5" xfId="0" applyFont="1" applyFill="1" applyBorder="1" applyAlignment="1">
      <alignment vertical="center" textRotation="90" wrapText="1"/>
    </xf>
    <xf numFmtId="0" fontId="22" fillId="3" borderId="6" xfId="0" applyFont="1" applyFill="1" applyBorder="1" applyAlignment="1">
      <alignment vertical="center" textRotation="90" wrapText="1"/>
    </xf>
    <xf numFmtId="49" fontId="16" fillId="23" borderId="34" xfId="0" applyNumberFormat="1" applyFont="1" applyFill="1" applyBorder="1" applyAlignment="1">
      <alignment horizontal="center" vertical="center" wrapText="1"/>
    </xf>
    <xf numFmtId="49" fontId="16" fillId="23" borderId="35" xfId="0" applyNumberFormat="1" applyFont="1" applyFill="1" applyBorder="1" applyAlignment="1">
      <alignment horizontal="center" vertical="center" wrapText="1"/>
    </xf>
    <xf numFmtId="49" fontId="16" fillId="23" borderId="20" xfId="0" applyNumberFormat="1" applyFont="1" applyFill="1" applyBorder="1" applyAlignment="1">
      <alignment horizontal="center" vertical="center" wrapText="1"/>
    </xf>
    <xf numFmtId="49" fontId="16" fillId="23" borderId="23" xfId="0" applyNumberFormat="1" applyFont="1" applyFill="1" applyBorder="1" applyAlignment="1">
      <alignment horizontal="center" vertical="center" wrapText="1"/>
    </xf>
    <xf numFmtId="0" fontId="16" fillId="23" borderId="5" xfId="0" applyFont="1" applyFill="1" applyBorder="1" applyAlignment="1">
      <alignment horizontal="center" vertical="center" wrapText="1"/>
    </xf>
    <xf numFmtId="0" fontId="16" fillId="23" borderId="14" xfId="0" applyFont="1" applyFill="1" applyBorder="1" applyAlignment="1">
      <alignment horizontal="center" vertical="center" wrapText="1"/>
    </xf>
    <xf numFmtId="0" fontId="16" fillId="23" borderId="10" xfId="0" applyFont="1" applyFill="1" applyBorder="1" applyAlignment="1">
      <alignment horizontal="center" vertical="center" wrapText="1"/>
    </xf>
    <xf numFmtId="0" fontId="16" fillId="23" borderId="3" xfId="0" applyFont="1" applyFill="1" applyBorder="1" applyAlignment="1">
      <alignment horizontal="center" vertical="center" wrapText="1"/>
    </xf>
    <xf numFmtId="0" fontId="16" fillId="23" borderId="13" xfId="0" applyFont="1" applyFill="1" applyBorder="1" applyAlignment="1">
      <alignment horizontal="center" vertical="center" wrapText="1"/>
    </xf>
    <xf numFmtId="0" fontId="16" fillId="23" borderId="11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24" fillId="25" borderId="5" xfId="0" applyFont="1" applyFill="1" applyBorder="1" applyAlignment="1">
      <alignment horizontal="center" vertical="center" wrapText="1"/>
    </xf>
    <xf numFmtId="0" fontId="24" fillId="25" borderId="14" xfId="0" applyFont="1" applyFill="1" applyBorder="1" applyAlignment="1">
      <alignment horizontal="center" vertical="center" wrapText="1"/>
    </xf>
    <xf numFmtId="0" fontId="24" fillId="25" borderId="3" xfId="0" applyFont="1" applyFill="1" applyBorder="1" applyAlignment="1">
      <alignment horizontal="center" vertical="center" wrapText="1"/>
    </xf>
    <xf numFmtId="0" fontId="24" fillId="25" borderId="13" xfId="0" applyFont="1" applyFill="1" applyBorder="1" applyAlignment="1">
      <alignment horizontal="center" vertical="center" wrapText="1"/>
    </xf>
    <xf numFmtId="0" fontId="16" fillId="23" borderId="19" xfId="0" applyFont="1" applyFill="1" applyBorder="1" applyAlignment="1">
      <alignment horizontal="center" vertical="center" wrapText="1"/>
    </xf>
    <xf numFmtId="0" fontId="16" fillId="23" borderId="22" xfId="0" applyFont="1" applyFill="1" applyBorder="1" applyAlignment="1">
      <alignment horizontal="center" vertical="center" wrapText="1"/>
    </xf>
    <xf numFmtId="0" fontId="16" fillId="23" borderId="20" xfId="0" applyFont="1" applyFill="1" applyBorder="1" applyAlignment="1">
      <alignment horizontal="center" vertical="center" wrapText="1"/>
    </xf>
    <xf numFmtId="0" fontId="16" fillId="23" borderId="23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24" fillId="25" borderId="19" xfId="0" applyFont="1" applyFill="1" applyBorder="1" applyAlignment="1">
      <alignment horizontal="center" vertical="center" wrapText="1"/>
    </xf>
    <xf numFmtId="0" fontId="24" fillId="25" borderId="22" xfId="0" applyFont="1" applyFill="1" applyBorder="1" applyAlignment="1">
      <alignment horizontal="center" vertical="center" wrapText="1"/>
    </xf>
    <xf numFmtId="0" fontId="24" fillId="25" borderId="20" xfId="0" applyFont="1" applyFill="1" applyBorder="1" applyAlignment="1">
      <alignment horizontal="center" vertical="center" wrapText="1"/>
    </xf>
    <xf numFmtId="0" fontId="24" fillId="25" borderId="23" xfId="0" applyFont="1" applyFill="1" applyBorder="1" applyAlignment="1">
      <alignment horizontal="center" vertical="center" wrapText="1"/>
    </xf>
    <xf numFmtId="0" fontId="24" fillId="25" borderId="10" xfId="0" applyFont="1" applyFill="1" applyBorder="1" applyAlignment="1">
      <alignment horizontal="center" vertical="center" wrapText="1"/>
    </xf>
    <xf numFmtId="0" fontId="24" fillId="25" borderId="11" xfId="0" applyFont="1" applyFill="1" applyBorder="1" applyAlignment="1">
      <alignment horizontal="center" vertical="center" wrapText="1"/>
    </xf>
    <xf numFmtId="9" fontId="25" fillId="5" borderId="8" xfId="3" applyFont="1" applyFill="1" applyBorder="1" applyAlignment="1" applyProtection="1">
      <alignment horizontal="center" vertical="center" wrapText="1"/>
    </xf>
    <xf numFmtId="9" fontId="25" fillId="5" borderId="13" xfId="3" applyFont="1" applyFill="1" applyBorder="1" applyAlignment="1" applyProtection="1">
      <alignment horizontal="center" vertical="center" wrapText="1"/>
    </xf>
    <xf numFmtId="9" fontId="25" fillId="5" borderId="9" xfId="3" applyFont="1" applyFill="1" applyBorder="1" applyAlignment="1" applyProtection="1">
      <alignment horizontal="center" vertical="center" wrapText="1"/>
    </xf>
    <xf numFmtId="9" fontId="25" fillId="5" borderId="14" xfId="3" applyFont="1" applyFill="1" applyBorder="1" applyAlignment="1" applyProtection="1">
      <alignment horizontal="center" vertical="center" wrapText="1"/>
    </xf>
    <xf numFmtId="0" fontId="17" fillId="2" borderId="24" xfId="0" applyFont="1" applyFill="1" applyBorder="1" applyAlignment="1">
      <alignment horizontal="left" vertical="center" wrapText="1"/>
    </xf>
    <xf numFmtId="0" fontId="17" fillId="2" borderId="25" xfId="0" applyFont="1" applyFill="1" applyBorder="1" applyAlignment="1">
      <alignment horizontal="left" vertical="center" wrapText="1"/>
    </xf>
    <xf numFmtId="0" fontId="17" fillId="2" borderId="26" xfId="0" applyFont="1" applyFill="1" applyBorder="1" applyAlignment="1">
      <alignment horizontal="left" vertical="center" wrapText="1"/>
    </xf>
    <xf numFmtId="9" fontId="25" fillId="5" borderId="16" xfId="3" applyFont="1" applyFill="1" applyBorder="1" applyAlignment="1" applyProtection="1">
      <alignment horizontal="center" vertical="center" wrapText="1"/>
    </xf>
    <xf numFmtId="9" fontId="25" fillId="5" borderId="17" xfId="3" applyFont="1" applyFill="1" applyBorder="1" applyAlignment="1" applyProtection="1">
      <alignment horizontal="center" vertical="center" wrapText="1"/>
    </xf>
    <xf numFmtId="0" fontId="16" fillId="23" borderId="0" xfId="0" applyFont="1" applyFill="1" applyBorder="1" applyAlignment="1">
      <alignment horizontal="center" vertical="center" wrapText="1"/>
    </xf>
    <xf numFmtId="0" fontId="16" fillId="23" borderId="17" xfId="0" applyFont="1" applyFill="1" applyBorder="1" applyAlignment="1">
      <alignment horizontal="center" vertical="center" wrapText="1"/>
    </xf>
    <xf numFmtId="0" fontId="16" fillId="23" borderId="33" xfId="0" applyFont="1" applyFill="1" applyBorder="1" applyAlignment="1">
      <alignment horizontal="center" vertical="center" wrapText="1"/>
    </xf>
    <xf numFmtId="9" fontId="24" fillId="24" borderId="8" xfId="3" applyFont="1" applyFill="1" applyBorder="1" applyAlignment="1" applyProtection="1">
      <alignment horizontal="center" vertical="center" wrapText="1"/>
    </xf>
    <xf numFmtId="9" fontId="24" fillId="24" borderId="13" xfId="3" applyFont="1" applyFill="1" applyBorder="1" applyAlignment="1" applyProtection="1">
      <alignment horizontal="center" vertical="center" wrapText="1"/>
    </xf>
    <xf numFmtId="9" fontId="24" fillId="24" borderId="9" xfId="3" applyFont="1" applyFill="1" applyBorder="1" applyAlignment="1" applyProtection="1">
      <alignment horizontal="center" vertical="center" wrapText="1"/>
    </xf>
    <xf numFmtId="9" fontId="24" fillId="24" borderId="14" xfId="3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6" fontId="9" fillId="2" borderId="4" xfId="0" applyNumberFormat="1" applyFont="1" applyFill="1" applyBorder="1" applyAlignment="1">
      <alignment horizontal="center" vertical="center" wrapText="1"/>
    </xf>
    <xf numFmtId="46" fontId="9" fillId="2" borderId="6" xfId="0" applyNumberFormat="1" applyFont="1" applyFill="1" applyBorder="1" applyAlignment="1">
      <alignment horizontal="center" vertical="center" wrapText="1"/>
    </xf>
    <xf numFmtId="45" fontId="7" fillId="2" borderId="8" xfId="0" applyNumberFormat="1" applyFont="1" applyFill="1" applyBorder="1" applyAlignment="1">
      <alignment horizontal="center" vertical="center" wrapText="1"/>
    </xf>
    <xf numFmtId="45" fontId="7" fillId="2" borderId="9" xfId="0" applyNumberFormat="1" applyFont="1" applyFill="1" applyBorder="1" applyAlignment="1">
      <alignment horizontal="center" vertical="center" wrapText="1"/>
    </xf>
    <xf numFmtId="46" fontId="9" fillId="2" borderId="28" xfId="0" applyNumberFormat="1" applyFont="1" applyFill="1" applyBorder="1" applyAlignment="1">
      <alignment horizontal="center" vertical="center" wrapText="1"/>
    </xf>
    <xf numFmtId="46" fontId="9" fillId="2" borderId="29" xfId="0" applyNumberFormat="1" applyFont="1" applyFill="1" applyBorder="1" applyAlignment="1">
      <alignment horizontal="center" vertical="center" wrapText="1"/>
    </xf>
    <xf numFmtId="45" fontId="7" fillId="2" borderId="30" xfId="0" applyNumberFormat="1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5" fontId="7" fillId="2" borderId="10" xfId="0" applyNumberFormat="1" applyFont="1" applyFill="1" applyBorder="1" applyAlignment="1">
      <alignment horizontal="center" vertical="center" wrapText="1"/>
    </xf>
    <xf numFmtId="45" fontId="7" fillId="2" borderId="11" xfId="0" applyNumberFormat="1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3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5" fontId="7" fillId="2" borderId="7" xfId="0" applyNumberFormat="1" applyFont="1" applyFill="1" applyBorder="1" applyAlignment="1">
      <alignment horizontal="center" vertical="center" wrapText="1"/>
    </xf>
    <xf numFmtId="46" fontId="9" fillId="2" borderId="32" xfId="0" applyNumberFormat="1" applyFont="1" applyFill="1" applyBorder="1" applyAlignment="1">
      <alignment horizontal="center" vertical="center" wrapText="1"/>
    </xf>
    <xf numFmtId="45" fontId="7" fillId="2" borderId="3" xfId="0" applyNumberFormat="1" applyFont="1" applyFill="1" applyBorder="1" applyAlignment="1">
      <alignment horizontal="center" vertical="center" wrapText="1"/>
    </xf>
    <xf numFmtId="45" fontId="7" fillId="2" borderId="5" xfId="0" applyNumberFormat="1" applyFont="1" applyFill="1" applyBorder="1" applyAlignment="1">
      <alignment horizontal="center" vertical="center" wrapText="1"/>
    </xf>
    <xf numFmtId="46" fontId="9" fillId="2" borderId="13" xfId="0" applyNumberFormat="1" applyFont="1" applyFill="1" applyBorder="1" applyAlignment="1">
      <alignment horizontal="center" vertical="center" wrapText="1"/>
    </xf>
    <xf numFmtId="46" fontId="9" fillId="2" borderId="14" xfId="0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center" wrapText="1"/>
    </xf>
    <xf numFmtId="0" fontId="23" fillId="5" borderId="9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wrapText="1"/>
    </xf>
    <xf numFmtId="0" fontId="18" fillId="2" borderId="37" xfId="0" applyFont="1" applyFill="1" applyBorder="1" applyAlignment="1">
      <alignment horizontal="center" wrapText="1"/>
    </xf>
    <xf numFmtId="0" fontId="18" fillId="2" borderId="38" xfId="0" applyFont="1" applyFill="1" applyBorder="1" applyAlignment="1">
      <alignment horizont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20" fillId="16" borderId="30" xfId="0" applyFont="1" applyFill="1" applyBorder="1" applyAlignment="1">
      <alignment horizontal="center"/>
    </xf>
    <xf numFmtId="0" fontId="20" fillId="16" borderId="32" xfId="0" applyFont="1" applyFill="1" applyBorder="1" applyAlignment="1">
      <alignment horizontal="center"/>
    </xf>
    <xf numFmtId="0" fontId="20" fillId="17" borderId="30" xfId="0" applyFont="1" applyFill="1" applyBorder="1" applyAlignment="1">
      <alignment horizontal="center"/>
    </xf>
    <xf numFmtId="0" fontId="20" fillId="17" borderId="32" xfId="0" applyFont="1" applyFill="1" applyBorder="1" applyAlignment="1">
      <alignment horizontal="center"/>
    </xf>
    <xf numFmtId="0" fontId="20" fillId="18" borderId="30" xfId="0" applyFont="1" applyFill="1" applyBorder="1" applyAlignment="1">
      <alignment horizontal="center"/>
    </xf>
    <xf numFmtId="0" fontId="20" fillId="18" borderId="32" xfId="0" applyFont="1" applyFill="1" applyBorder="1" applyAlignment="1">
      <alignment horizontal="center"/>
    </xf>
  </cellXfs>
  <cellStyles count="4">
    <cellStyle name="Normal" xfId="0" builtinId="0"/>
    <cellStyle name="Normal 2" xfId="1" xr:uid="{D5EC01C5-5816-46E8-AD54-1CFF0C50194C}"/>
    <cellStyle name="Normal 2 2" xfId="2" xr:uid="{CFD0943D-3B8F-4BEC-8E10-D2B370196BA4}"/>
    <cellStyle name="Percent 2" xfId="3" xr:uid="{005F8A2F-184D-4472-A16E-D2736A8BA33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87923</xdr:colOff>
      <xdr:row>3</xdr:row>
      <xdr:rowOff>19272</xdr:rowOff>
    </xdr:from>
    <xdr:to>
      <xdr:col>3</xdr:col>
      <xdr:colOff>461596</xdr:colOff>
      <xdr:row>10</xdr:row>
      <xdr:rowOff>175952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227C4D-D8C7-0447-13B8-B22F4E53E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29" b="99448" l="1635" r="89646">
                      <a14:foregroundMark x1="55858" y1="8011" x2="1635" y2="37293"/>
                      <a14:foregroundMark x1="1635" y1="37293" x2="1635" y2="37293"/>
                      <a14:foregroundMark x1="22888" y1="4972" x2="16621" y2="96409"/>
                      <a14:foregroundMark x1="16621" y1="96409" x2="17711" y2="99448"/>
                      <a14:foregroundMark x1="88556" y1="8564" x2="80654" y2="80387"/>
                      <a14:foregroundMark x1="73025" y1="63536" x2="52589" y2="98895"/>
                      <a14:foregroundMark x1="26158" y1="70442" x2="13624" y2="96409"/>
                      <a14:foregroundMark x1="37057" y1="67680" x2="32425" y2="90055"/>
                      <a14:foregroundMark x1="81199" y1="75138" x2="71935" y2="88950"/>
                      <a14:foregroundMark x1="85831" y1="74033" x2="67575" y2="93646"/>
                      <a14:foregroundMark x1="74387" y1="3315" x2="35967" y2="82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1192" y="480868"/>
          <a:ext cx="1406769" cy="1387603"/>
        </a:xfrm>
        <a:prstGeom prst="rect">
          <a:avLst/>
        </a:prstGeom>
      </xdr:spPr>
    </xdr:pic>
    <xdr:clientData/>
  </xdr:twoCellAnchor>
  <xdr:twoCellAnchor editAs="oneCell">
    <xdr:from>
      <xdr:col>0</xdr:col>
      <xdr:colOff>65942</xdr:colOff>
      <xdr:row>11</xdr:row>
      <xdr:rowOff>75013</xdr:rowOff>
    </xdr:from>
    <xdr:to>
      <xdr:col>3</xdr:col>
      <xdr:colOff>241788</xdr:colOff>
      <xdr:row>16</xdr:row>
      <xdr:rowOff>180631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D90A301-BC9B-5635-8D89-F58AB15FC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942" y="1965359"/>
          <a:ext cx="1282211" cy="1094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7"/>
  <sheetViews>
    <sheetView showGridLines="0" tabSelected="1" topLeftCell="A7" zoomScale="130" zoomScaleNormal="130" workbookViewId="0">
      <selection activeCell="H27" sqref="H27:L27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6.140625" customWidth="1"/>
    <col min="4" max="4" width="8.7109375" customWidth="1"/>
    <col min="5" max="5" width="1.140625" customWidth="1"/>
    <col min="6" max="6" width="5.5703125" customWidth="1"/>
    <col min="7" max="7" width="5.140625" customWidth="1"/>
    <col min="8" max="8" width="8.28515625" customWidth="1"/>
    <col min="9" max="9" width="3.28515625" customWidth="1"/>
    <col min="10" max="10" width="8.28515625" customWidth="1"/>
    <col min="11" max="11" width="3.28515625" customWidth="1"/>
    <col min="12" max="12" width="8.28515625" customWidth="1"/>
    <col min="13" max="13" width="3.28515625" customWidth="1"/>
    <col min="14" max="14" width="8.28515625" customWidth="1"/>
    <col min="15" max="15" width="3.28515625" customWidth="1"/>
    <col min="16" max="16" width="8.28515625" customWidth="1"/>
    <col min="17" max="17" width="3.28515625" customWidth="1"/>
    <col min="18" max="18" width="8.2851562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65" t="s">
        <v>1</v>
      </c>
      <c r="C2" s="165"/>
      <c r="D2" s="165"/>
      <c r="E2" s="1"/>
      <c r="F2" s="172" t="s">
        <v>2</v>
      </c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4"/>
    </row>
    <row r="3" spans="1:19" ht="15.95" customHeight="1" x14ac:dyDescent="0.25">
      <c r="B3" s="166"/>
      <c r="C3" s="166"/>
      <c r="D3" s="166"/>
      <c r="E3" s="2"/>
      <c r="F3" s="175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7"/>
    </row>
    <row r="4" spans="1:19" ht="12.95" customHeight="1" x14ac:dyDescent="0.25">
      <c r="B4" s="167"/>
      <c r="C4" s="9"/>
      <c r="D4" s="8"/>
      <c r="E4" s="2"/>
      <c r="F4" s="169" t="s">
        <v>35</v>
      </c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1"/>
    </row>
    <row r="5" spans="1:19" ht="12.95" customHeight="1" x14ac:dyDescent="0.25">
      <c r="B5" s="167"/>
      <c r="C5" s="9"/>
      <c r="D5" s="8"/>
      <c r="E5" s="3"/>
      <c r="F5" s="169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1"/>
    </row>
    <row r="6" spans="1:19" ht="20.25" customHeight="1" x14ac:dyDescent="0.25">
      <c r="B6" s="167"/>
      <c r="C6" s="9"/>
      <c r="D6" s="8"/>
      <c r="E6" s="3"/>
      <c r="F6" s="169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1"/>
    </row>
    <row r="7" spans="1:19" ht="4.5" customHeight="1" thickBot="1" x14ac:dyDescent="0.3">
      <c r="B7" s="167"/>
      <c r="C7" s="9"/>
      <c r="D7" s="8"/>
      <c r="E7" s="3"/>
      <c r="F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1"/>
    </row>
    <row r="8" spans="1:19" ht="15.95" customHeight="1" thickBot="1" x14ac:dyDescent="0.3">
      <c r="B8" s="167"/>
      <c r="C8" s="9"/>
      <c r="D8" s="8"/>
      <c r="E8" s="3"/>
      <c r="F8" s="152" t="s">
        <v>4</v>
      </c>
      <c r="G8" s="153"/>
      <c r="H8" s="104" t="s">
        <v>23</v>
      </c>
      <c r="I8" s="105"/>
      <c r="J8" s="105"/>
      <c r="K8" s="106"/>
      <c r="L8" s="104" t="s">
        <v>19</v>
      </c>
      <c r="M8" s="105"/>
      <c r="N8" s="105"/>
      <c r="O8" s="106"/>
      <c r="P8" s="105" t="s">
        <v>20</v>
      </c>
      <c r="Q8" s="105"/>
      <c r="R8" s="105"/>
      <c r="S8" s="106"/>
    </row>
    <row r="9" spans="1:19" ht="15.95" customHeight="1" thickBot="1" x14ac:dyDescent="0.3">
      <c r="B9" s="167"/>
      <c r="D9" s="8"/>
      <c r="E9" s="3"/>
      <c r="F9" s="152"/>
      <c r="G9" s="153"/>
      <c r="H9" s="107"/>
      <c r="I9" s="108"/>
      <c r="J9" s="108"/>
      <c r="K9" s="109"/>
      <c r="L9" s="107"/>
      <c r="M9" s="108"/>
      <c r="N9" s="108"/>
      <c r="O9" s="109"/>
      <c r="P9" s="108"/>
      <c r="Q9" s="108"/>
      <c r="R9" s="108"/>
      <c r="S9" s="109"/>
    </row>
    <row r="10" spans="1:19" ht="15.95" customHeight="1" thickBot="1" x14ac:dyDescent="0.3">
      <c r="B10" s="167"/>
      <c r="C10" s="9"/>
      <c r="D10" s="8"/>
      <c r="E10" s="3"/>
      <c r="F10" s="152" t="s">
        <v>3</v>
      </c>
      <c r="G10" s="153"/>
      <c r="H10" s="116"/>
      <c r="I10" s="117"/>
      <c r="J10" s="120"/>
      <c r="K10" s="121"/>
      <c r="L10" s="116" t="s">
        <v>33</v>
      </c>
      <c r="M10" s="132"/>
      <c r="N10" s="134" t="s">
        <v>34</v>
      </c>
      <c r="O10" s="121"/>
      <c r="P10" s="134"/>
      <c r="Q10" s="117"/>
      <c r="R10" s="120"/>
      <c r="S10" s="121"/>
    </row>
    <row r="11" spans="1:19" ht="15.95" customHeight="1" thickBot="1" x14ac:dyDescent="0.3">
      <c r="B11" s="167"/>
      <c r="C11" s="9"/>
      <c r="D11" s="8"/>
      <c r="E11" s="3"/>
      <c r="F11" s="152"/>
      <c r="G11" s="153"/>
      <c r="H11" s="118"/>
      <c r="I11" s="119"/>
      <c r="J11" s="122"/>
      <c r="K11" s="123"/>
      <c r="L11" s="118"/>
      <c r="M11" s="133"/>
      <c r="N11" s="135"/>
      <c r="O11" s="123"/>
      <c r="P11" s="135"/>
      <c r="Q11" s="119"/>
      <c r="R11" s="122"/>
      <c r="S11" s="123"/>
    </row>
    <row r="12" spans="1:19" ht="15.95" customHeight="1" thickBot="1" x14ac:dyDescent="0.3">
      <c r="B12" s="167"/>
      <c r="C12" s="138"/>
      <c r="D12" s="139"/>
      <c r="E12" s="3"/>
      <c r="F12" s="152" t="s">
        <v>5</v>
      </c>
      <c r="G12" s="153"/>
      <c r="H12" s="154" t="s">
        <v>22</v>
      </c>
      <c r="I12" s="155"/>
      <c r="J12" s="156" t="s">
        <v>22</v>
      </c>
      <c r="K12" s="157"/>
      <c r="L12" s="110" t="s">
        <v>32</v>
      </c>
      <c r="M12" s="111"/>
      <c r="N12" s="114" t="s">
        <v>27</v>
      </c>
      <c r="O12" s="115"/>
      <c r="P12" s="178" t="s">
        <v>22</v>
      </c>
      <c r="Q12" s="179"/>
      <c r="R12" s="156" t="s">
        <v>22</v>
      </c>
      <c r="S12" s="157"/>
    </row>
    <row r="13" spans="1:19" ht="15.95" customHeight="1" thickBot="1" x14ac:dyDescent="0.3">
      <c r="B13" s="167"/>
      <c r="C13" s="138"/>
      <c r="D13" s="139"/>
      <c r="E13" s="3"/>
      <c r="F13" s="152"/>
      <c r="G13" s="153"/>
      <c r="H13" s="154"/>
      <c r="I13" s="155"/>
      <c r="J13" s="158"/>
      <c r="K13" s="159"/>
      <c r="L13" s="112"/>
      <c r="M13" s="113"/>
      <c r="N13" s="114"/>
      <c r="O13" s="115"/>
      <c r="P13" s="180"/>
      <c r="Q13" s="181"/>
      <c r="R13" s="158"/>
      <c r="S13" s="159"/>
    </row>
    <row r="14" spans="1:19" ht="15.95" customHeight="1" thickBot="1" x14ac:dyDescent="0.3">
      <c r="B14" s="167"/>
      <c r="C14" s="138"/>
      <c r="D14" s="139"/>
      <c r="E14" s="3"/>
      <c r="F14" s="152" t="s">
        <v>39</v>
      </c>
      <c r="G14" s="153"/>
      <c r="H14" s="128"/>
      <c r="I14" s="129" t="s">
        <v>6</v>
      </c>
      <c r="J14" s="130"/>
      <c r="K14" s="136" t="s">
        <v>6</v>
      </c>
      <c r="L14" s="124">
        <f>81*110%</f>
        <v>89.100000000000009</v>
      </c>
      <c r="M14" s="126" t="s">
        <v>6</v>
      </c>
      <c r="N14" s="103">
        <f>42*110%</f>
        <v>46.2</v>
      </c>
      <c r="O14" s="160" t="s">
        <v>6</v>
      </c>
      <c r="P14" s="161"/>
      <c r="Q14" s="163" t="s">
        <v>6</v>
      </c>
      <c r="R14" s="130"/>
      <c r="S14" s="136" t="s">
        <v>6</v>
      </c>
    </row>
    <row r="15" spans="1:19" ht="15.95" customHeight="1" thickBot="1" x14ac:dyDescent="0.3">
      <c r="B15" s="167"/>
      <c r="C15" s="138"/>
      <c r="D15" s="139"/>
      <c r="E15" s="3"/>
      <c r="F15" s="152"/>
      <c r="G15" s="153"/>
      <c r="H15" s="128"/>
      <c r="I15" s="129"/>
      <c r="J15" s="131"/>
      <c r="K15" s="137"/>
      <c r="L15" s="125"/>
      <c r="M15" s="127"/>
      <c r="N15" s="103"/>
      <c r="O15" s="160"/>
      <c r="P15" s="162"/>
      <c r="Q15" s="164"/>
      <c r="R15" s="131"/>
      <c r="S15" s="137"/>
    </row>
    <row r="16" spans="1:19" ht="15.95" customHeight="1" thickBot="1" x14ac:dyDescent="0.3">
      <c r="B16" s="167"/>
      <c r="C16" s="138"/>
      <c r="D16" s="139"/>
      <c r="E16" s="3"/>
      <c r="F16" s="152" t="s">
        <v>7</v>
      </c>
      <c r="G16" s="153"/>
      <c r="H16" s="148">
        <v>0</v>
      </c>
      <c r="I16" s="149" t="s">
        <v>8</v>
      </c>
      <c r="J16" s="150">
        <v>0</v>
      </c>
      <c r="K16" s="142" t="s">
        <v>8</v>
      </c>
      <c r="L16" s="144">
        <v>2.0023148148148148E-3</v>
      </c>
      <c r="M16" s="146" t="s">
        <v>8</v>
      </c>
      <c r="N16" s="182">
        <v>1.4120370370370369E-3</v>
      </c>
      <c r="O16" s="183" t="s">
        <v>8</v>
      </c>
      <c r="P16" s="184">
        <v>0</v>
      </c>
      <c r="Q16" s="186" t="s">
        <v>8</v>
      </c>
      <c r="R16" s="150">
        <v>0</v>
      </c>
      <c r="S16" s="142" t="s">
        <v>8</v>
      </c>
    </row>
    <row r="17" spans="2:19" ht="15.95" customHeight="1" thickBot="1" x14ac:dyDescent="0.3">
      <c r="B17" s="168"/>
      <c r="C17" s="140"/>
      <c r="D17" s="141"/>
      <c r="E17" s="3"/>
      <c r="F17" s="152"/>
      <c r="G17" s="153"/>
      <c r="H17" s="148"/>
      <c r="I17" s="149"/>
      <c r="J17" s="151"/>
      <c r="K17" s="143"/>
      <c r="L17" s="145"/>
      <c r="M17" s="147"/>
      <c r="N17" s="182"/>
      <c r="O17" s="183"/>
      <c r="P17" s="185"/>
      <c r="Q17" s="187"/>
      <c r="R17" s="151"/>
      <c r="S17" s="143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x14ac:dyDescent="0.25">
      <c r="B19" s="213" t="s">
        <v>21</v>
      </c>
      <c r="C19" s="214"/>
      <c r="D19" s="215"/>
      <c r="F19" s="192" t="s">
        <v>9</v>
      </c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4"/>
    </row>
    <row r="20" spans="2:19" ht="15.95" customHeight="1" thickBot="1" x14ac:dyDescent="0.3">
      <c r="B20" s="216"/>
      <c r="C20" s="217"/>
      <c r="D20" s="218"/>
      <c r="F20" s="195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7"/>
    </row>
    <row r="21" spans="2:19" ht="15.95" customHeight="1" thickBot="1" x14ac:dyDescent="0.3">
      <c r="B21" s="202" t="s">
        <v>38</v>
      </c>
      <c r="C21" s="203"/>
      <c r="D21" s="204"/>
      <c r="F21" s="198" t="s">
        <v>14</v>
      </c>
      <c r="G21" s="199"/>
      <c r="H21" s="208" t="s">
        <v>10</v>
      </c>
      <c r="I21" s="208"/>
      <c r="J21" s="208"/>
      <c r="K21" s="208"/>
      <c r="L21" s="209"/>
      <c r="M21" s="212" t="s">
        <v>15</v>
      </c>
      <c r="N21" s="212"/>
      <c r="O21" s="188" t="s">
        <v>11</v>
      </c>
      <c r="P21" s="188"/>
      <c r="Q21" s="188"/>
      <c r="R21" s="188"/>
      <c r="S21" s="189"/>
    </row>
    <row r="22" spans="2:19" ht="15.95" customHeight="1" thickBot="1" x14ac:dyDescent="0.3">
      <c r="B22" s="205"/>
      <c r="C22" s="206"/>
      <c r="D22" s="207"/>
      <c r="F22" s="200"/>
      <c r="G22" s="201"/>
      <c r="H22" s="210"/>
      <c r="I22" s="210"/>
      <c r="J22" s="210"/>
      <c r="K22" s="210"/>
      <c r="L22" s="211"/>
      <c r="M22" s="212"/>
      <c r="N22" s="212"/>
      <c r="O22" s="190"/>
      <c r="P22" s="190"/>
      <c r="Q22" s="190"/>
      <c r="R22" s="190"/>
      <c r="S22" s="191"/>
    </row>
    <row r="23" spans="2:19" ht="15.95" customHeight="1" x14ac:dyDescent="0.25">
      <c r="B23" s="91"/>
      <c r="C23" s="92"/>
      <c r="D23" s="93"/>
      <c r="F23" s="87">
        <v>0.01</v>
      </c>
      <c r="G23" s="88"/>
      <c r="H23" s="65" t="s">
        <v>28</v>
      </c>
      <c r="I23" s="66"/>
      <c r="J23" s="66"/>
      <c r="K23" s="66"/>
      <c r="L23" s="67"/>
      <c r="M23" s="65">
        <v>1</v>
      </c>
      <c r="N23" s="67"/>
      <c r="O23" s="75" t="s">
        <v>26</v>
      </c>
      <c r="P23" s="75"/>
      <c r="Q23" s="75"/>
      <c r="R23" s="75"/>
      <c r="S23" s="76"/>
    </row>
    <row r="24" spans="2:19" ht="15.95" customHeight="1" thickBot="1" x14ac:dyDescent="0.3">
      <c r="B24" s="91"/>
      <c r="C24" s="92"/>
      <c r="D24" s="93"/>
      <c r="F24" s="89"/>
      <c r="G24" s="90"/>
      <c r="H24" s="68">
        <v>40</v>
      </c>
      <c r="I24" s="63"/>
      <c r="J24" s="63"/>
      <c r="K24" s="63"/>
      <c r="L24" s="64"/>
      <c r="M24" s="68"/>
      <c r="N24" s="64"/>
      <c r="O24" s="77"/>
      <c r="P24" s="77"/>
      <c r="Q24" s="77"/>
      <c r="R24" s="77"/>
      <c r="S24" s="78"/>
    </row>
    <row r="25" spans="2:19" ht="15.95" customHeight="1" x14ac:dyDescent="0.25">
      <c r="B25" s="91"/>
      <c r="C25" s="92"/>
      <c r="D25" s="93"/>
      <c r="F25" s="94">
        <v>0.01</v>
      </c>
      <c r="G25" s="95"/>
      <c r="H25" s="98" t="s">
        <v>36</v>
      </c>
      <c r="I25" s="96"/>
      <c r="J25" s="96"/>
      <c r="K25" s="96"/>
      <c r="L25" s="97"/>
      <c r="M25" s="98">
        <v>1</v>
      </c>
      <c r="N25" s="97"/>
      <c r="O25" s="59" t="s">
        <v>37</v>
      </c>
      <c r="P25" s="59"/>
      <c r="Q25" s="59"/>
      <c r="R25" s="59"/>
      <c r="S25" s="60"/>
    </row>
    <row r="26" spans="2:19" ht="15.95" customHeight="1" thickBot="1" x14ac:dyDescent="0.3">
      <c r="B26" s="91"/>
      <c r="C26" s="92"/>
      <c r="D26" s="93"/>
      <c r="F26" s="94"/>
      <c r="G26" s="95"/>
      <c r="H26" s="68"/>
      <c r="I26" s="63"/>
      <c r="J26" s="63"/>
      <c r="K26" s="63"/>
      <c r="L26" s="64"/>
      <c r="M26" s="68"/>
      <c r="N26" s="64"/>
      <c r="O26" s="61"/>
      <c r="P26" s="61"/>
      <c r="Q26" s="61"/>
      <c r="R26" s="61"/>
      <c r="S26" s="62"/>
    </row>
    <row r="27" spans="2:19" ht="15.95" customHeight="1" x14ac:dyDescent="0.25">
      <c r="B27" s="91"/>
      <c r="C27" s="92"/>
      <c r="D27" s="93"/>
      <c r="F27" s="87">
        <v>0.52</v>
      </c>
      <c r="G27" s="88"/>
      <c r="H27" s="66" t="s">
        <v>40</v>
      </c>
      <c r="I27" s="66"/>
      <c r="J27" s="66"/>
      <c r="K27" s="66"/>
      <c r="L27" s="67"/>
      <c r="M27" s="69">
        <v>2</v>
      </c>
      <c r="N27" s="69"/>
      <c r="O27" s="69" t="s">
        <v>12</v>
      </c>
      <c r="P27" s="69"/>
      <c r="Q27" s="69"/>
      <c r="R27" s="69"/>
      <c r="S27" s="79"/>
    </row>
    <row r="28" spans="2:19" ht="15.95" customHeight="1" thickBot="1" x14ac:dyDescent="0.3">
      <c r="B28" s="91"/>
      <c r="C28" s="92"/>
      <c r="D28" s="93"/>
      <c r="F28" s="89"/>
      <c r="G28" s="90"/>
      <c r="H28" s="63" t="s">
        <v>16</v>
      </c>
      <c r="I28" s="63"/>
      <c r="J28" s="63"/>
      <c r="K28" s="63"/>
      <c r="L28" s="64"/>
      <c r="M28" s="70"/>
      <c r="N28" s="70"/>
      <c r="O28" s="70"/>
      <c r="P28" s="70"/>
      <c r="Q28" s="70"/>
      <c r="R28" s="70"/>
      <c r="S28" s="80"/>
    </row>
    <row r="29" spans="2:19" ht="15.95" customHeight="1" x14ac:dyDescent="0.25">
      <c r="B29" s="91"/>
      <c r="C29" s="92"/>
      <c r="D29" s="93"/>
      <c r="F29" s="99"/>
      <c r="G29" s="100"/>
      <c r="H29" s="73" t="s">
        <v>29</v>
      </c>
      <c r="I29" s="73"/>
      <c r="J29" s="73"/>
      <c r="K29" s="73"/>
      <c r="L29" s="74"/>
      <c r="M29" s="85">
        <v>3</v>
      </c>
      <c r="N29" s="74"/>
      <c r="O29" s="81">
        <v>6</v>
      </c>
      <c r="P29" s="81"/>
      <c r="Q29" s="81"/>
      <c r="R29" s="81"/>
      <c r="S29" s="82"/>
    </row>
    <row r="30" spans="2:19" ht="15.95" customHeight="1" thickBot="1" x14ac:dyDescent="0.3">
      <c r="B30" s="91"/>
      <c r="C30" s="92"/>
      <c r="D30" s="93"/>
      <c r="F30" s="101"/>
      <c r="G30" s="102"/>
      <c r="H30" s="71" t="s">
        <v>30</v>
      </c>
      <c r="I30" s="71"/>
      <c r="J30" s="71"/>
      <c r="K30" s="71"/>
      <c r="L30" s="72"/>
      <c r="M30" s="86"/>
      <c r="N30" s="72"/>
      <c r="O30" s="83"/>
      <c r="P30" s="83"/>
      <c r="Q30" s="83"/>
      <c r="R30" s="83"/>
      <c r="S30" s="84"/>
    </row>
    <row r="31" spans="2:19" ht="15.95" customHeight="1" x14ac:dyDescent="0.25">
      <c r="B31" s="91"/>
      <c r="C31" s="92"/>
      <c r="D31" s="93"/>
      <c r="F31" s="94">
        <v>0.46</v>
      </c>
      <c r="G31" s="95"/>
      <c r="H31" s="96" t="s">
        <v>13</v>
      </c>
      <c r="I31" s="96"/>
      <c r="J31" s="96"/>
      <c r="K31" s="96"/>
      <c r="L31" s="97"/>
      <c r="M31" s="98">
        <v>6</v>
      </c>
      <c r="N31" s="97"/>
      <c r="O31" s="59" t="s">
        <v>12</v>
      </c>
      <c r="P31" s="59"/>
      <c r="Q31" s="59"/>
      <c r="R31" s="59"/>
      <c r="S31" s="60"/>
    </row>
    <row r="32" spans="2:19" ht="15.95" customHeight="1" thickBot="1" x14ac:dyDescent="0.3">
      <c r="B32" s="56"/>
      <c r="C32" s="57"/>
      <c r="D32" s="58"/>
      <c r="F32" s="89"/>
      <c r="G32" s="90"/>
      <c r="H32" s="63" t="s">
        <v>31</v>
      </c>
      <c r="I32" s="63"/>
      <c r="J32" s="63"/>
      <c r="K32" s="63"/>
      <c r="L32" s="64"/>
      <c r="M32" s="68"/>
      <c r="N32" s="64"/>
      <c r="O32" s="61"/>
      <c r="P32" s="61"/>
      <c r="Q32" s="61"/>
      <c r="R32" s="61"/>
      <c r="S32" s="6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90">
    <mergeCell ref="B23:D23"/>
    <mergeCell ref="B19:D20"/>
    <mergeCell ref="B24:D24"/>
    <mergeCell ref="B25:D25"/>
    <mergeCell ref="B26:D26"/>
    <mergeCell ref="O21:S22"/>
    <mergeCell ref="F19:S20"/>
    <mergeCell ref="F21:G22"/>
    <mergeCell ref="B21:D21"/>
    <mergeCell ref="B22:D22"/>
    <mergeCell ref="H21:L22"/>
    <mergeCell ref="M21:N22"/>
    <mergeCell ref="F25:G26"/>
    <mergeCell ref="H25:L26"/>
    <mergeCell ref="O25:S26"/>
    <mergeCell ref="M25:N26"/>
    <mergeCell ref="F23:G24"/>
    <mergeCell ref="B2:D3"/>
    <mergeCell ref="F8:G9"/>
    <mergeCell ref="F10:G11"/>
    <mergeCell ref="F12:G13"/>
    <mergeCell ref="B4:B17"/>
    <mergeCell ref="F14:G15"/>
    <mergeCell ref="F4:S6"/>
    <mergeCell ref="F2:S3"/>
    <mergeCell ref="P10:Q11"/>
    <mergeCell ref="R10:S11"/>
    <mergeCell ref="P12:Q13"/>
    <mergeCell ref="R12:S13"/>
    <mergeCell ref="N16:N17"/>
    <mergeCell ref="O16:O17"/>
    <mergeCell ref="P16:P17"/>
    <mergeCell ref="Q16:Q17"/>
    <mergeCell ref="O14:O15"/>
    <mergeCell ref="S16:S17"/>
    <mergeCell ref="P14:P15"/>
    <mergeCell ref="Q14:Q15"/>
    <mergeCell ref="R14:R15"/>
    <mergeCell ref="R16:R17"/>
    <mergeCell ref="C12:D17"/>
    <mergeCell ref="K16:K17"/>
    <mergeCell ref="L16:L17"/>
    <mergeCell ref="M16:M17"/>
    <mergeCell ref="H16:H17"/>
    <mergeCell ref="I16:I17"/>
    <mergeCell ref="J16:J17"/>
    <mergeCell ref="F16:G17"/>
    <mergeCell ref="H12:I13"/>
    <mergeCell ref="J12:K13"/>
    <mergeCell ref="K14:K15"/>
    <mergeCell ref="N14:N15"/>
    <mergeCell ref="H8:K9"/>
    <mergeCell ref="L8:O9"/>
    <mergeCell ref="P8:S9"/>
    <mergeCell ref="L12:M13"/>
    <mergeCell ref="N12:O13"/>
    <mergeCell ref="H10:I11"/>
    <mergeCell ref="J10:K11"/>
    <mergeCell ref="L14:L15"/>
    <mergeCell ref="M14:M15"/>
    <mergeCell ref="H14:H15"/>
    <mergeCell ref="I14:I15"/>
    <mergeCell ref="J14:J15"/>
    <mergeCell ref="L10:M11"/>
    <mergeCell ref="N10:O11"/>
    <mergeCell ref="S14:S15"/>
    <mergeCell ref="F27:G28"/>
    <mergeCell ref="B28:D28"/>
    <mergeCell ref="F31:G32"/>
    <mergeCell ref="H31:L31"/>
    <mergeCell ref="M31:N32"/>
    <mergeCell ref="F29:G30"/>
    <mergeCell ref="B29:D29"/>
    <mergeCell ref="B30:D30"/>
    <mergeCell ref="B31:D31"/>
    <mergeCell ref="B27:D27"/>
    <mergeCell ref="O31:S32"/>
    <mergeCell ref="H32:L32"/>
    <mergeCell ref="H23:L23"/>
    <mergeCell ref="H24:L24"/>
    <mergeCell ref="M27:N28"/>
    <mergeCell ref="H27:L27"/>
    <mergeCell ref="H30:L30"/>
    <mergeCell ref="H28:L28"/>
    <mergeCell ref="H29:L29"/>
    <mergeCell ref="O23:S24"/>
    <mergeCell ref="O27:S28"/>
    <mergeCell ref="O29:S30"/>
    <mergeCell ref="M29:N30"/>
    <mergeCell ref="M23:N24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6E1D7723-38C2-4256-AEE1-CE7D7FC20DBC}">
          <x14:formula1>
            <xm:f>DATA!$C$3:$C$7</xm:f>
          </x14:formula1>
          <xm:sqref>H12:I13</xm:sqref>
        </x14:dataValidation>
        <x14:dataValidation type="list" allowBlank="1" showInputMessage="1" showErrorMessage="1" xr:uid="{7837EE9C-0931-4428-B5F4-B4085C4F794D}">
          <x14:formula1>
            <xm:f>DATA!$E$3:$E$7</xm:f>
          </x14:formula1>
          <xm:sqref>J12:K13</xm:sqref>
        </x14:dataValidation>
        <x14:dataValidation type="list" allowBlank="1" showInputMessage="1" showErrorMessage="1" xr:uid="{6D95DAD2-D5D2-4E56-99F7-114E86BFB971}">
          <x14:formula1>
            <xm:f>DATA!$G$3:$G$7</xm:f>
          </x14:formula1>
          <xm:sqref>L12:M13</xm:sqref>
        </x14:dataValidation>
        <x14:dataValidation type="list" allowBlank="1" showInputMessage="1" showErrorMessage="1" xr:uid="{E0A69D58-80A9-454A-AE27-409F2790DE43}">
          <x14:formula1>
            <xm:f>DATA!$I$3:$I$7</xm:f>
          </x14:formula1>
          <xm:sqref>N12:O13</xm:sqref>
        </x14:dataValidation>
        <x14:dataValidation type="list" allowBlank="1" showInputMessage="1" showErrorMessage="1" xr:uid="{A5F95470-B89A-4492-BEBA-AB786E87D5A6}">
          <x14:formula1>
            <xm:f>DATA!$K$3:$K$7</xm:f>
          </x14:formula1>
          <xm:sqref>P12:Q13</xm:sqref>
        </x14:dataValidation>
        <x14:dataValidation type="list" allowBlank="1" showInputMessage="1" showErrorMessage="1" xr:uid="{B94D5049-E4C4-4410-82F0-65B01DE7A4EA}">
          <x14:formula1>
            <xm:f>DATA!$M$3:$M$7</xm:f>
          </x14:formula1>
          <xm:sqref>R12:S13</xm:sqref>
        </x14:dataValidation>
        <x14:dataValidation type="list" allowBlank="1" showInputMessage="1" showErrorMessage="1" xr:uid="{9081808A-D0C7-4518-8B02-A83336246842}">
          <x14:formula1>
            <xm:f>DATA!$D$3:$D$7</xm:f>
          </x14:formula1>
          <xm:sqref>H16:H17</xm:sqref>
        </x14:dataValidation>
        <x14:dataValidation type="list" allowBlank="1" showInputMessage="1" showErrorMessage="1" xr:uid="{203C9BCB-7AC4-4B46-803F-CD0570CBB888}">
          <x14:formula1>
            <xm:f>DATA!$F$3:$F$7</xm:f>
          </x14:formula1>
          <xm:sqref>J16:J17</xm:sqref>
        </x14:dataValidation>
        <x14:dataValidation type="list" allowBlank="1" showInputMessage="1" showErrorMessage="1" xr:uid="{9BDF4F39-79DB-473E-B77E-7DD15A5AE507}">
          <x14:formula1>
            <xm:f>DATA!$H$3:$H$7</xm:f>
          </x14:formula1>
          <xm:sqref>L16:L17</xm:sqref>
        </x14:dataValidation>
        <x14:dataValidation type="list" allowBlank="1" showInputMessage="1" showErrorMessage="1" xr:uid="{2D080DD0-08D1-46C3-847D-0EEC976B0C76}">
          <x14:formula1>
            <xm:f>DATA!$J$3:$J$7</xm:f>
          </x14:formula1>
          <xm:sqref>N16:N17</xm:sqref>
        </x14:dataValidation>
        <x14:dataValidation type="list" allowBlank="1" showInputMessage="1" showErrorMessage="1" xr:uid="{652C67BC-0CD9-49F7-917B-987434F67AA5}">
          <x14:formula1>
            <xm:f>DATA!$L$3:$L$7</xm:f>
          </x14:formula1>
          <xm:sqref>P16:P17</xm:sqref>
        </x14:dataValidation>
        <x14:dataValidation type="list" allowBlank="1" showInputMessage="1" showErrorMessage="1" xr:uid="{88B74295-C2AA-44CB-98F8-65BF994DA4B6}">
          <x14:formula1>
            <xm:f>DATA!$N$3:$N$7</xm:f>
          </x14:formula1>
          <xm:sqref>R16:R17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C1:N11"/>
  <sheetViews>
    <sheetView showGridLines="0" topLeftCell="D1" zoomScale="145" zoomScaleNormal="145" workbookViewId="0">
      <selection activeCell="J3" sqref="J3"/>
    </sheetView>
  </sheetViews>
  <sheetFormatPr baseColWidth="10" defaultColWidth="11.42578125" defaultRowHeight="15" x14ac:dyDescent="0.25"/>
  <cols>
    <col min="1" max="6" width="11.42578125" style="12"/>
    <col min="7" max="8" width="11.42578125" style="12" customWidth="1"/>
    <col min="9" max="16384" width="11.42578125" style="12"/>
  </cols>
  <sheetData>
    <row r="1" spans="3:14" ht="14.25" customHeight="1" thickBot="1" x14ac:dyDescent="0.3">
      <c r="C1" s="53" t="s">
        <v>17</v>
      </c>
      <c r="D1" s="221" t="s">
        <v>23</v>
      </c>
      <c r="E1" s="222"/>
      <c r="F1" s="27" t="s">
        <v>18</v>
      </c>
      <c r="G1" s="54" t="s">
        <v>17</v>
      </c>
      <c r="H1" s="219" t="s">
        <v>19</v>
      </c>
      <c r="I1" s="220"/>
      <c r="J1" s="26" t="s">
        <v>18</v>
      </c>
      <c r="K1" s="55" t="s">
        <v>17</v>
      </c>
      <c r="L1" s="223" t="s">
        <v>20</v>
      </c>
      <c r="M1" s="224"/>
      <c r="N1" s="52" t="s">
        <v>18</v>
      </c>
    </row>
    <row r="2" spans="3:14" ht="15.75" thickBot="1" x14ac:dyDescent="0.3">
      <c r="C2" s="34" t="s">
        <v>24</v>
      </c>
      <c r="D2" s="35" t="s">
        <v>25</v>
      </c>
      <c r="E2" s="29" t="s">
        <v>24</v>
      </c>
      <c r="F2" s="28" t="s">
        <v>25</v>
      </c>
      <c r="G2" s="14" t="s">
        <v>24</v>
      </c>
      <c r="H2" s="15" t="s">
        <v>25</v>
      </c>
      <c r="I2" s="20" t="s">
        <v>24</v>
      </c>
      <c r="J2" s="21" t="s">
        <v>25</v>
      </c>
      <c r="K2" s="40" t="s">
        <v>24</v>
      </c>
      <c r="L2" s="41" t="s">
        <v>25</v>
      </c>
      <c r="M2" s="46" t="s">
        <v>24</v>
      </c>
      <c r="N2" s="47" t="s">
        <v>25</v>
      </c>
    </row>
    <row r="3" spans="3:14" ht="17.100000000000001" customHeight="1" x14ac:dyDescent="0.25">
      <c r="C3" s="36" t="s">
        <v>22</v>
      </c>
      <c r="D3" s="37">
        <v>0</v>
      </c>
      <c r="E3" s="30" t="s">
        <v>22</v>
      </c>
      <c r="F3" s="31">
        <v>0</v>
      </c>
      <c r="G3" s="16" t="s">
        <v>32</v>
      </c>
      <c r="H3" s="17">
        <v>2.0023148148148148E-3</v>
      </c>
      <c r="I3" s="22" t="s">
        <v>27</v>
      </c>
      <c r="J3" s="23">
        <v>1.4120370370370369E-3</v>
      </c>
      <c r="K3" s="42" t="s">
        <v>22</v>
      </c>
      <c r="L3" s="43">
        <v>0</v>
      </c>
      <c r="M3" s="48" t="s">
        <v>22</v>
      </c>
      <c r="N3" s="49">
        <v>0</v>
      </c>
    </row>
    <row r="4" spans="3:14" ht="17.100000000000001" customHeight="1" x14ac:dyDescent="0.25">
      <c r="C4" s="36" t="s">
        <v>22</v>
      </c>
      <c r="D4" s="37">
        <v>4.1666666666666699E-2</v>
      </c>
      <c r="E4" s="30" t="s">
        <v>22</v>
      </c>
      <c r="F4" s="31">
        <v>4.1666666666666699E-2</v>
      </c>
      <c r="G4" s="16" t="s">
        <v>22</v>
      </c>
      <c r="H4" s="17">
        <v>4.1666666666666699E-2</v>
      </c>
      <c r="I4" s="22" t="s">
        <v>22</v>
      </c>
      <c r="J4" s="23">
        <v>4.1666666666666699E-2</v>
      </c>
      <c r="K4" s="42" t="s">
        <v>22</v>
      </c>
      <c r="L4" s="43">
        <v>4.1666666666666699E-2</v>
      </c>
      <c r="M4" s="48" t="s">
        <v>22</v>
      </c>
      <c r="N4" s="49">
        <v>4.1666666666666699E-2</v>
      </c>
    </row>
    <row r="5" spans="3:14" ht="17.100000000000001" customHeight="1" x14ac:dyDescent="0.25">
      <c r="C5" s="36" t="s">
        <v>22</v>
      </c>
      <c r="D5" s="37">
        <v>8.3333333333333301E-2</v>
      </c>
      <c r="E5" s="30" t="s">
        <v>22</v>
      </c>
      <c r="F5" s="31">
        <v>8.3333333333333301E-2</v>
      </c>
      <c r="G5" s="16" t="s">
        <v>22</v>
      </c>
      <c r="H5" s="17">
        <v>8.3333333333333301E-2</v>
      </c>
      <c r="I5" s="22" t="s">
        <v>22</v>
      </c>
      <c r="J5" s="23">
        <v>8.3333333333333301E-2</v>
      </c>
      <c r="K5" s="42" t="s">
        <v>22</v>
      </c>
      <c r="L5" s="43">
        <v>8.3333333333333301E-2</v>
      </c>
      <c r="M5" s="48" t="s">
        <v>22</v>
      </c>
      <c r="N5" s="49">
        <v>8.3333333333333301E-2</v>
      </c>
    </row>
    <row r="6" spans="3:14" ht="17.100000000000001" customHeight="1" x14ac:dyDescent="0.25">
      <c r="C6" s="36" t="s">
        <v>22</v>
      </c>
      <c r="D6" s="37">
        <v>0.125</v>
      </c>
      <c r="E6" s="30" t="s">
        <v>22</v>
      </c>
      <c r="F6" s="31">
        <v>0.125</v>
      </c>
      <c r="G6" s="16" t="s">
        <v>22</v>
      </c>
      <c r="H6" s="17">
        <v>0.125</v>
      </c>
      <c r="I6" s="22" t="s">
        <v>22</v>
      </c>
      <c r="J6" s="23">
        <v>0.125</v>
      </c>
      <c r="K6" s="42" t="s">
        <v>22</v>
      </c>
      <c r="L6" s="43">
        <v>0.125</v>
      </c>
      <c r="M6" s="48" t="s">
        <v>22</v>
      </c>
      <c r="N6" s="49">
        <v>0.125</v>
      </c>
    </row>
    <row r="7" spans="3:14" ht="17.100000000000001" customHeight="1" thickBot="1" x14ac:dyDescent="0.3">
      <c r="C7" s="38" t="s">
        <v>22</v>
      </c>
      <c r="D7" s="39">
        <v>0.16666666666666699</v>
      </c>
      <c r="E7" s="32" t="s">
        <v>22</v>
      </c>
      <c r="F7" s="33">
        <v>0.16666666666666699</v>
      </c>
      <c r="G7" s="18" t="s">
        <v>22</v>
      </c>
      <c r="H7" s="19">
        <v>0.16666666666666699</v>
      </c>
      <c r="I7" s="24" t="s">
        <v>22</v>
      </c>
      <c r="J7" s="25">
        <v>0.16666666666666699</v>
      </c>
      <c r="K7" s="44" t="s">
        <v>22</v>
      </c>
      <c r="L7" s="45">
        <v>0.16666666666666699</v>
      </c>
      <c r="M7" s="50" t="s">
        <v>22</v>
      </c>
      <c r="N7" s="51">
        <v>0.16666666666666699</v>
      </c>
    </row>
    <row r="8" spans="3:14" ht="17.100000000000001" customHeight="1" x14ac:dyDescent="0.25">
      <c r="C8" s="13"/>
      <c r="D8" s="13"/>
      <c r="E8" s="13"/>
      <c r="F8" s="13"/>
      <c r="G8" s="13"/>
      <c r="H8" s="13"/>
    </row>
    <row r="9" spans="3:14" ht="17.100000000000001" customHeight="1" x14ac:dyDescent="0.25">
      <c r="C9" s="13"/>
      <c r="D9" s="13"/>
      <c r="E9" s="13"/>
      <c r="F9" s="13"/>
      <c r="G9" s="13"/>
      <c r="H9" s="13"/>
    </row>
    <row r="10" spans="3:14" ht="17.100000000000001" customHeight="1" x14ac:dyDescent="0.25">
      <c r="C10" s="13"/>
      <c r="D10" s="13"/>
      <c r="E10" s="13"/>
      <c r="F10" s="13"/>
      <c r="G10" s="13"/>
      <c r="H10" s="13"/>
    </row>
    <row r="11" spans="3:14" ht="17.100000000000001" customHeight="1" x14ac:dyDescent="0.25">
      <c r="C11" s="13"/>
      <c r="D11" s="13"/>
      <c r="E11" s="13"/>
      <c r="F11" s="13"/>
      <c r="G11" s="13"/>
      <c r="H11" s="13"/>
    </row>
  </sheetData>
  <mergeCells count="3">
    <mergeCell ref="H1:I1"/>
    <mergeCell ref="D1:E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D036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2025-01-13T19:38:54Z</cp:lastPrinted>
  <dcterms:created xsi:type="dcterms:W3CDTF">2023-10-31T20:19:37Z</dcterms:created>
  <dcterms:modified xsi:type="dcterms:W3CDTF">2025-04-02T00:36:02Z</dcterms:modified>
  <dc:language>es-MX</dc:language>
</cp:coreProperties>
</file>