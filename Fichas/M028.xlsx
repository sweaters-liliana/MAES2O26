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li3AememLczfYDGeP2wmzBqJUR2vscOr\CONTROL DISEÑO\VIVA ROUSS\MAES 2025\M028 BLUSA MANGA LARGA CON DRAPEADO EN EL BUSTO\"/>
    </mc:Choice>
  </mc:AlternateContent>
  <xr:revisionPtr revIDLastSave="0" documentId="13_ncr:1_{FEA1362A-75DA-4D20-A153-46A53B884FE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Hoja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1" l="1"/>
  <c r="J14" i="1"/>
  <c r="G14" i="1"/>
  <c r="D3" i="2"/>
</calcChain>
</file>

<file path=xl/sharedStrings.xml><?xml version="1.0" encoding="utf-8"?>
<sst xmlns="http://schemas.openxmlformats.org/spreadsheetml/2006/main" count="101" uniqueCount="59">
  <si>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</si>
  <si>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</si>
  <si>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</si>
  <si>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</si>
  <si>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</si>
  <si>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</si>
  <si>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</si>
  <si>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</si>
  <si>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</si>
  <si>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</si>
  <si>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</si>
  <si>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</si>
  <si>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</si>
  <si>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</si>
  <si>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</si>
  <si>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</si>
  <si>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#2</t>
  </si>
  <si>
    <t>PESO+10%:</t>
  </si>
  <si>
    <t>TALLA:</t>
  </si>
  <si>
    <t>UNITALLA</t>
  </si>
  <si>
    <t>MANGA L</t>
  </si>
  <si>
    <t>BLUSA</t>
  </si>
  <si>
    <t>L. PECHO</t>
  </si>
  <si>
    <t>NONES</t>
  </si>
  <si>
    <t>DOBLE NYLON</t>
  </si>
  <si>
    <t>maquina</t>
  </si>
  <si>
    <t>ajustes ó problemas mecanicos</t>
  </si>
  <si>
    <t>Dias x Tejer</t>
  </si>
  <si>
    <t>PEDIDO</t>
  </si>
  <si>
    <t>Tejedor</t>
  </si>
  <si>
    <t>Fecha</t>
  </si>
  <si>
    <t>defectos</t>
  </si>
  <si>
    <t>agujas</t>
  </si>
  <si>
    <t>100 pzs</t>
  </si>
  <si>
    <t>/20</t>
  </si>
  <si>
    <t>TALLA</t>
  </si>
  <si>
    <t>CHICA</t>
  </si>
  <si>
    <t>CODIGO</t>
  </si>
  <si>
    <t>O900C30C</t>
  </si>
  <si>
    <t>PESO</t>
  </si>
  <si>
    <t>TIEMPO</t>
  </si>
  <si>
    <t>50 pzs</t>
  </si>
  <si>
    <t>LIKRA  YUKI 20/70/68</t>
  </si>
  <si>
    <t>NYLON 70/68</t>
  </si>
  <si>
    <t>GUATEMALA</t>
  </si>
  <si>
    <t>Ghilos</t>
  </si>
  <si>
    <t>Sis.</t>
  </si>
  <si>
    <t>Todos</t>
  </si>
  <si>
    <t>#5</t>
  </si>
  <si>
    <t>TEXAS SALDO</t>
  </si>
  <si>
    <t>20/40/12</t>
  </si>
  <si>
    <t>BLUSAS 2 X LIENZO</t>
  </si>
  <si>
    <t xml:space="preserve">BLUSA MANGA LARGA CON DRAPEADO EN EL BUSTO </t>
  </si>
  <si>
    <t>ML 1 PAR X LIENZO</t>
  </si>
  <si>
    <t>CIXING</t>
  </si>
  <si>
    <t>M028BL31</t>
  </si>
  <si>
    <t>M028ML31</t>
  </si>
  <si>
    <t>M028PE31</t>
  </si>
  <si>
    <t>LPECHO 4 X LIENZO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</si>
</sst>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charset val="1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12"/>
      <name val="Consolas"/>
      <family val="3"/>
    </font>
    <font>
      <b/>
      <sz val="24"/>
      <color theme="0"/>
      <name val="Consolas"/>
      <family val="3"/>
    </font>
    <font>
      <b/>
      <sz val="16"/>
      <color theme="1"/>
      <name val="Consolas"/>
      <family val="3"/>
    </font>
    <font>
      <sz val="14"/>
      <color theme="1"/>
      <name val="Arial"/>
      <family val="2"/>
      <scheme val="minor"/>
    </font>
    <font>
      <sz val="21"/>
      <color theme="1"/>
      <name val="Bernard MT Condensed"/>
      <family val="1"/>
    </font>
    <font>
      <sz val="36"/>
      <color theme="1"/>
      <name val="Arial Black"/>
      <family val="2"/>
    </font>
    <font>
      <sz val="14"/>
      <color theme="1"/>
      <name val="Bernard MT Condensed"/>
      <family val="1"/>
    </font>
    <font>
      <b/>
      <i/>
      <u/>
      <sz val="14"/>
      <color theme="1"/>
      <name val="Arial"/>
      <family val="2"/>
      <scheme val="minor"/>
    </font>
    <font>
      <sz val="22"/>
      <color theme="1"/>
      <name val="Arial Black"/>
      <family val="2"/>
    </font>
    <font>
      <sz val="12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theme="1"/>
      <name val="Bernard MT Condensed"/>
      <family val="1"/>
    </font>
    <font>
      <sz val="14"/>
      <color theme="1"/>
      <name val="Arial"/>
      <family val="2"/>
    </font>
    <font>
      <b/>
      <sz val="24"/>
      <color rgb="FF000000"/>
      <name val="Consolas"/>
      <family val="3"/>
    </font>
    <font>
      <b/>
      <sz val="12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indexed="65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9" fontId="13" fillId="0" borderId="0" applyFont="0" applyFill="0" applyBorder="0" applyAlignment="0" applyProtection="0"/>
    <xf numFmtId="0" fontId="1" fillId="0" borderId="0"/>
  </cellStyleXfs>
  <cellXfs count="147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4"/>
    <xf numFmtId="0" fontId="22" fillId="10" borderId="0" xfId="4" applyFont="1" applyFill="1" applyAlignment="1">
      <alignment horizontal="center" vertical="center"/>
    </xf>
    <xf numFmtId="0" fontId="25" fillId="0" borderId="0" xfId="4" applyFont="1"/>
    <xf numFmtId="0" fontId="1" fillId="0" borderId="18" xfId="4" applyBorder="1"/>
    <xf numFmtId="0" fontId="1" fillId="0" borderId="19" xfId="4" applyBorder="1"/>
    <xf numFmtId="0" fontId="1" fillId="0" borderId="20" xfId="4" applyBorder="1"/>
    <xf numFmtId="0" fontId="1" fillId="0" borderId="21" xfId="4" applyBorder="1"/>
    <xf numFmtId="0" fontId="22" fillId="0" borderId="0" xfId="4" applyFont="1" applyAlignment="1">
      <alignment horizontal="center" vertical="center"/>
    </xf>
    <xf numFmtId="0" fontId="22" fillId="0" borderId="0" xfId="4" applyFont="1"/>
    <xf numFmtId="0" fontId="28" fillId="0" borderId="21" xfId="4" applyFont="1" applyBorder="1" applyAlignment="1">
      <alignment horizontal="left" vertical="center"/>
    </xf>
    <xf numFmtId="0" fontId="1" fillId="0" borderId="22" xfId="4" applyBorder="1"/>
    <xf numFmtId="0" fontId="22" fillId="0" borderId="23" xfId="4" applyFont="1" applyBorder="1"/>
    <xf numFmtId="0" fontId="1" fillId="0" borderId="23" xfId="4" applyBorder="1"/>
    <xf numFmtId="0" fontId="29" fillId="0" borderId="0" xfId="4" applyFont="1" applyAlignment="1">
      <alignment horizontal="right"/>
    </xf>
    <xf numFmtId="0" fontId="30" fillId="0" borderId="0" xfId="4" applyFont="1" applyAlignment="1">
      <alignment horizontal="center" vertical="center"/>
    </xf>
    <xf numFmtId="20" fontId="30" fillId="0" borderId="0" xfId="4" applyNumberFormat="1" applyFont="1" applyAlignment="1">
      <alignment horizontal="center" vertical="center"/>
    </xf>
    <xf numFmtId="9" fontId="31" fillId="0" borderId="0" xfId="4" applyNumberFormat="1" applyFont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6" fontId="19" fillId="8" borderId="2" xfId="0" applyNumberFormat="1" applyFont="1" applyFill="1" applyBorder="1" applyAlignment="1">
      <alignment horizontal="center" vertical="center" wrapText="1"/>
    </xf>
    <xf numFmtId="46" fontId="19" fillId="8" borderId="4" xfId="0" applyNumberFormat="1" applyFont="1" applyFill="1" applyBorder="1" applyAlignment="1">
      <alignment horizontal="center" vertical="center" wrapText="1"/>
    </xf>
    <xf numFmtId="0" fontId="32" fillId="9" borderId="5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32" fillId="9" borderId="10" xfId="0" applyFont="1" applyFill="1" applyBorder="1" applyAlignment="1">
      <alignment horizontal="center" vertical="center" wrapText="1"/>
    </xf>
    <xf numFmtId="0" fontId="32" fillId="9" borderId="0" xfId="0" applyFont="1" applyFill="1" applyBorder="1" applyAlignment="1">
      <alignment horizontal="center" vertical="center" wrapText="1"/>
    </xf>
    <xf numFmtId="0" fontId="32" fillId="9" borderId="11" xfId="0" applyFont="1" applyFill="1" applyBorder="1" applyAlignment="1">
      <alignment horizontal="center" vertical="center" wrapText="1"/>
    </xf>
    <xf numFmtId="0" fontId="32" fillId="9" borderId="6" xfId="0" applyFont="1" applyFill="1" applyBorder="1" applyAlignment="1">
      <alignment horizontal="center" vertical="center" wrapText="1"/>
    </xf>
    <xf numFmtId="0" fontId="32" fillId="9" borderId="3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164" fontId="16" fillId="8" borderId="5" xfId="0" applyNumberFormat="1" applyFont="1" applyFill="1" applyBorder="1" applyAlignment="1">
      <alignment horizontal="center" vertical="center" wrapText="1"/>
    </xf>
    <xf numFmtId="164" fontId="16" fillId="8" borderId="1" xfId="0" applyNumberFormat="1" applyFont="1" applyFill="1" applyBorder="1" applyAlignment="1">
      <alignment horizontal="center" vertical="center" wrapText="1"/>
    </xf>
    <xf numFmtId="164" fontId="16" fillId="8" borderId="6" xfId="0" applyNumberFormat="1" applyFont="1" applyFill="1" applyBorder="1" applyAlignment="1">
      <alignment horizontal="center" vertical="center" wrapText="1"/>
    </xf>
    <xf numFmtId="164" fontId="16" fillId="8" borderId="3" xfId="0" applyNumberFormat="1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33" fillId="8" borderId="5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3" fillId="8" borderId="2" xfId="0" applyFont="1" applyFill="1" applyBorder="1" applyAlignment="1">
      <alignment horizontal="center" vertical="center" wrapText="1"/>
    </xf>
    <xf numFmtId="0" fontId="33" fillId="8" borderId="6" xfId="0" applyFont="1" applyFill="1" applyBorder="1" applyAlignment="1">
      <alignment horizontal="center" vertical="center" wrapText="1"/>
    </xf>
    <xf numFmtId="0" fontId="33" fillId="8" borderId="3" xfId="0" applyFont="1" applyFill="1" applyBorder="1" applyAlignment="1">
      <alignment horizontal="center" vertical="center" wrapText="1"/>
    </xf>
    <xf numFmtId="0" fontId="33" fillId="8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45" fontId="16" fillId="8" borderId="5" xfId="0" applyNumberFormat="1" applyFont="1" applyFill="1" applyBorder="1" applyAlignment="1">
      <alignment horizontal="center" vertical="center" wrapText="1"/>
    </xf>
    <xf numFmtId="45" fontId="16" fillId="8" borderId="1" xfId="0" applyNumberFormat="1" applyFont="1" applyFill="1" applyBorder="1" applyAlignment="1">
      <alignment horizontal="center" vertical="center" wrapText="1"/>
    </xf>
    <xf numFmtId="45" fontId="16" fillId="8" borderId="6" xfId="0" applyNumberFormat="1" applyFont="1" applyFill="1" applyBorder="1" applyAlignment="1">
      <alignment horizontal="center" vertical="center" wrapText="1"/>
    </xf>
    <xf numFmtId="45" fontId="16" fillId="8" borderId="3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4" fillId="2" borderId="6" xfId="0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9" fontId="8" fillId="5" borderId="5" xfId="3" applyFont="1" applyFill="1" applyBorder="1" applyAlignment="1">
      <alignment horizontal="center" vertical="center" wrapText="1"/>
    </xf>
    <xf numFmtId="9" fontId="8" fillId="5" borderId="8" xfId="3" applyFont="1" applyFill="1" applyBorder="1" applyAlignment="1">
      <alignment horizontal="center" vertical="center" wrapText="1"/>
    </xf>
    <xf numFmtId="9" fontId="8" fillId="5" borderId="6" xfId="3" applyFont="1" applyFill="1" applyBorder="1" applyAlignment="1">
      <alignment horizontal="center" vertical="center" wrapText="1"/>
    </xf>
    <xf numFmtId="9" fontId="8" fillId="5" borderId="9" xfId="3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49" fontId="12" fillId="8" borderId="12" xfId="0" applyNumberFormat="1" applyFont="1" applyFill="1" applyBorder="1" applyAlignment="1">
      <alignment horizontal="center" vertical="center" wrapText="1"/>
    </xf>
    <xf numFmtId="49" fontId="12" fillId="8" borderId="2" xfId="0" applyNumberFormat="1" applyFont="1" applyFill="1" applyBorder="1" applyAlignment="1">
      <alignment horizontal="center" vertical="center" wrapText="1"/>
    </xf>
    <xf numFmtId="49" fontId="12" fillId="8" borderId="7" xfId="0" applyNumberFormat="1" applyFont="1" applyFill="1" applyBorder="1" applyAlignment="1">
      <alignment horizontal="center" vertical="center" wrapText="1"/>
    </xf>
    <xf numFmtId="49" fontId="12" fillId="8" borderId="4" xfId="0" applyNumberFormat="1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0" fontId="27" fillId="0" borderId="0" xfId="4" applyFont="1" applyAlignment="1">
      <alignment horizontal="center" vertical="center"/>
    </xf>
    <xf numFmtId="16" fontId="22" fillId="0" borderId="0" xfId="4" applyNumberFormat="1" applyFont="1" applyAlignment="1">
      <alignment horizontal="center"/>
    </xf>
    <xf numFmtId="0" fontId="22" fillId="0" borderId="0" xfId="4" applyFont="1" applyAlignment="1">
      <alignment horizontal="center"/>
    </xf>
    <xf numFmtId="0" fontId="23" fillId="11" borderId="15" xfId="4" applyFont="1" applyFill="1" applyBorder="1" applyAlignment="1">
      <alignment horizontal="center" vertical="center"/>
    </xf>
    <xf numFmtId="0" fontId="23" fillId="11" borderId="16" xfId="4" applyFont="1" applyFill="1" applyBorder="1" applyAlignment="1">
      <alignment horizontal="center" vertical="center"/>
    </xf>
    <xf numFmtId="0" fontId="23" fillId="11" borderId="17" xfId="4" applyFont="1" applyFill="1" applyBorder="1" applyAlignment="1">
      <alignment horizontal="center" vertical="center"/>
    </xf>
    <xf numFmtId="0" fontId="23" fillId="11" borderId="18" xfId="4" applyFont="1" applyFill="1" applyBorder="1" applyAlignment="1">
      <alignment horizontal="center" vertical="center"/>
    </xf>
    <xf numFmtId="0" fontId="23" fillId="11" borderId="0" xfId="4" applyFont="1" applyFill="1" applyAlignment="1">
      <alignment horizontal="center" vertical="center"/>
    </xf>
    <xf numFmtId="0" fontId="23" fillId="11" borderId="19" xfId="4" applyFont="1" applyFill="1" applyBorder="1" applyAlignment="1">
      <alignment horizontal="center" vertical="center"/>
    </xf>
    <xf numFmtId="0" fontId="24" fillId="10" borderId="0" xfId="4" applyFont="1" applyFill="1" applyAlignment="1">
      <alignment horizontal="center" vertical="center"/>
    </xf>
    <xf numFmtId="0" fontId="26" fillId="0" borderId="0" xfId="4" applyFont="1" applyAlignment="1">
      <alignment horizontal="center"/>
    </xf>
    <xf numFmtId="0" fontId="29" fillId="0" borderId="0" xfId="4" applyFont="1" applyAlignment="1">
      <alignment horizontal="center"/>
    </xf>
    <xf numFmtId="0" fontId="1" fillId="0" borderId="0" xfId="4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4" xr:uid="{0EDA5E3A-7DF3-4505-9BF4-72E6734129AF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2</xdr:row>
      <xdr:rowOff>254630</xdr:rowOff>
    </xdr:from>
    <xdr:to>
      <xdr:col>3</xdr:col>
      <xdr:colOff>1114426</xdr:colOff>
      <xdr:row>16</xdr:row>
      <xdr:rowOff>83551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333B60-B1B2-467C-88E0-724378130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6" r="9888"/>
        <a:stretch/>
      </xdr:blipFill>
      <xdr:spPr>
        <a:xfrm>
          <a:off x="47626" y="597530"/>
          <a:ext cx="1905000" cy="3115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76967</xdr:colOff>
      <xdr:row>11</xdr:row>
      <xdr:rowOff>177459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2135267E-7E62-4D95-819A-8AD7F9D2A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0" y="0"/>
          <a:ext cx="1667642" cy="2653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2"/>
  <sheetViews>
    <sheetView showGridLines="0" tabSelected="1" zoomScaleNormal="100" workbookViewId="0">
      <selection activeCell="B18" sqref="B18:R19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20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ht="21.95" customHeight="1" x14ac:dyDescent="0.25">
      <c r="B2" s="20" t="s">
        <v>1</v>
      </c>
      <c r="C2" s="21"/>
      <c r="D2" s="22"/>
      <c r="E2" s="124" t="s">
        <v>2</v>
      </c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6"/>
    </row>
    <row r="3" spans="1:20" ht="16.5" customHeight="1" thickBot="1" x14ac:dyDescent="0.3">
      <c r="B3" s="23"/>
      <c r="C3" s="24"/>
      <c r="D3" s="25"/>
      <c r="E3" s="127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9"/>
    </row>
    <row r="4" spans="1:20" ht="12.95" customHeight="1" x14ac:dyDescent="0.25">
      <c r="B4" s="77"/>
      <c r="C4" s="78"/>
      <c r="D4" s="79"/>
      <c r="E4" s="28" t="s">
        <v>52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30"/>
    </row>
    <row r="5" spans="1:20" ht="25.5" customHeight="1" x14ac:dyDescent="0.25">
      <c r="B5" s="80"/>
      <c r="C5" s="81"/>
      <c r="D5" s="82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3"/>
    </row>
    <row r="6" spans="1:20" ht="20.25" customHeight="1" x14ac:dyDescent="0.25">
      <c r="B6" s="80"/>
      <c r="C6" s="81"/>
      <c r="D6" s="82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/>
    </row>
    <row r="7" spans="1:20" ht="4.5" customHeight="1" thickBot="1" x14ac:dyDescent="0.3">
      <c r="B7" s="80"/>
      <c r="C7" s="81"/>
      <c r="D7" s="82"/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6"/>
    </row>
    <row r="8" spans="1:20" ht="20.100000000000001" customHeight="1" x14ac:dyDescent="0.25">
      <c r="B8" s="80"/>
      <c r="C8" s="81"/>
      <c r="D8" s="82"/>
      <c r="E8" s="73" t="s">
        <v>18</v>
      </c>
      <c r="F8" s="74"/>
      <c r="G8" s="41" t="s">
        <v>19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3"/>
    </row>
    <row r="9" spans="1:20" ht="20.100000000000001" customHeight="1" thickBot="1" x14ac:dyDescent="0.3">
      <c r="B9" s="80"/>
      <c r="C9" s="81"/>
      <c r="D9" s="82"/>
      <c r="E9" s="75"/>
      <c r="F9" s="76"/>
      <c r="G9" s="44"/>
      <c r="H9" s="45"/>
      <c r="I9" s="45"/>
      <c r="J9" s="45"/>
      <c r="K9" s="45"/>
      <c r="L9" s="45"/>
      <c r="M9" s="45"/>
      <c r="N9" s="45"/>
      <c r="O9" s="45"/>
      <c r="P9" s="45"/>
      <c r="Q9" s="45"/>
      <c r="R9" s="46"/>
    </row>
    <row r="10" spans="1:20" ht="20.100000000000001" customHeight="1" x14ac:dyDescent="0.25">
      <c r="B10" s="80"/>
      <c r="C10" s="81"/>
      <c r="D10" s="82"/>
      <c r="E10" s="73" t="s">
        <v>3</v>
      </c>
      <c r="F10" s="74"/>
      <c r="G10" s="41" t="s">
        <v>21</v>
      </c>
      <c r="H10" s="42"/>
      <c r="I10" s="43"/>
      <c r="J10" s="41" t="s">
        <v>20</v>
      </c>
      <c r="K10" s="42"/>
      <c r="L10" s="43"/>
      <c r="M10" s="41" t="s">
        <v>22</v>
      </c>
      <c r="N10" s="42"/>
      <c r="O10" s="43"/>
      <c r="P10" s="57" t="s">
        <v>51</v>
      </c>
      <c r="Q10" s="58"/>
      <c r="R10" s="59"/>
    </row>
    <row r="11" spans="1:20" ht="20.100000000000001" customHeight="1" thickBot="1" x14ac:dyDescent="0.3">
      <c r="B11" s="80"/>
      <c r="C11" s="81"/>
      <c r="D11" s="82"/>
      <c r="E11" s="75"/>
      <c r="F11" s="76"/>
      <c r="G11" s="44"/>
      <c r="H11" s="45"/>
      <c r="I11" s="46"/>
      <c r="J11" s="44"/>
      <c r="K11" s="45"/>
      <c r="L11" s="46"/>
      <c r="M11" s="44"/>
      <c r="N11" s="45"/>
      <c r="O11" s="46"/>
      <c r="P11" s="60"/>
      <c r="Q11" s="61"/>
      <c r="R11" s="62"/>
    </row>
    <row r="12" spans="1:20" ht="20.100000000000001" customHeight="1" x14ac:dyDescent="0.25">
      <c r="B12" s="80"/>
      <c r="C12" s="81"/>
      <c r="D12" s="82"/>
      <c r="E12" s="130" t="s">
        <v>4</v>
      </c>
      <c r="F12" s="131"/>
      <c r="G12" s="41" t="s">
        <v>55</v>
      </c>
      <c r="H12" s="42"/>
      <c r="I12" s="43"/>
      <c r="J12" s="41" t="s">
        <v>56</v>
      </c>
      <c r="K12" s="42"/>
      <c r="L12" s="43"/>
      <c r="M12" s="41" t="s">
        <v>57</v>
      </c>
      <c r="N12" s="42"/>
      <c r="O12" s="43"/>
      <c r="P12" s="57" t="s">
        <v>53</v>
      </c>
      <c r="Q12" s="58"/>
      <c r="R12" s="59"/>
      <c r="T12"/>
    </row>
    <row r="13" spans="1:20" ht="20.100000000000001" customHeight="1" thickBot="1" x14ac:dyDescent="0.3">
      <c r="B13" s="80"/>
      <c r="C13" s="81"/>
      <c r="D13" s="82"/>
      <c r="E13" s="132"/>
      <c r="F13" s="133"/>
      <c r="G13" s="44"/>
      <c r="H13" s="45"/>
      <c r="I13" s="46"/>
      <c r="J13" s="44"/>
      <c r="K13" s="45"/>
      <c r="L13" s="46"/>
      <c r="M13" s="44"/>
      <c r="N13" s="45"/>
      <c r="O13" s="46"/>
      <c r="P13" s="60"/>
      <c r="Q13" s="61"/>
      <c r="R13" s="62"/>
    </row>
    <row r="14" spans="1:20" ht="20.100000000000001" customHeight="1" x14ac:dyDescent="0.25">
      <c r="B14" s="80"/>
      <c r="C14" s="81"/>
      <c r="D14" s="82"/>
      <c r="E14" s="130" t="s">
        <v>17</v>
      </c>
      <c r="F14" s="131"/>
      <c r="G14" s="47">
        <f>192*110%</f>
        <v>211.20000000000002</v>
      </c>
      <c r="H14" s="48"/>
      <c r="I14" s="86" t="s">
        <v>5</v>
      </c>
      <c r="J14" s="47">
        <f>105*110%</f>
        <v>115.50000000000001</v>
      </c>
      <c r="K14" s="48"/>
      <c r="L14" s="86" t="s">
        <v>5</v>
      </c>
      <c r="M14" s="47">
        <f>109*110%</f>
        <v>119.9</v>
      </c>
      <c r="N14" s="48"/>
      <c r="O14" s="86" t="s">
        <v>5</v>
      </c>
      <c r="P14" s="57" t="s">
        <v>58</v>
      </c>
      <c r="Q14" s="58"/>
      <c r="R14" s="59"/>
    </row>
    <row r="15" spans="1:20" ht="20.100000000000001" customHeight="1" thickBot="1" x14ac:dyDescent="0.3">
      <c r="B15" s="80"/>
      <c r="C15" s="81"/>
      <c r="D15" s="82"/>
      <c r="E15" s="132"/>
      <c r="F15" s="133"/>
      <c r="G15" s="49"/>
      <c r="H15" s="50"/>
      <c r="I15" s="87"/>
      <c r="J15" s="49"/>
      <c r="K15" s="50"/>
      <c r="L15" s="87"/>
      <c r="M15" s="49"/>
      <c r="N15" s="50"/>
      <c r="O15" s="87"/>
      <c r="P15" s="60"/>
      <c r="Q15" s="61"/>
      <c r="R15" s="62"/>
    </row>
    <row r="16" spans="1:20" ht="20.100000000000001" customHeight="1" x14ac:dyDescent="0.25">
      <c r="B16" s="80"/>
      <c r="C16" s="81"/>
      <c r="D16" s="82"/>
      <c r="E16" s="73" t="s">
        <v>6</v>
      </c>
      <c r="F16" s="74"/>
      <c r="G16" s="69">
        <v>6.5740740740740742E-3</v>
      </c>
      <c r="H16" s="70"/>
      <c r="I16" s="26" t="s">
        <v>7</v>
      </c>
      <c r="J16" s="69">
        <v>3.9699074074074072E-3</v>
      </c>
      <c r="K16" s="70"/>
      <c r="L16" s="26" t="s">
        <v>7</v>
      </c>
      <c r="M16" s="69">
        <v>4.0740740740740737E-3</v>
      </c>
      <c r="N16" s="70"/>
      <c r="O16" s="26" t="s">
        <v>7</v>
      </c>
      <c r="P16" s="57"/>
      <c r="Q16" s="58"/>
      <c r="R16" s="59"/>
    </row>
    <row r="17" spans="2:18" ht="20.100000000000001" customHeight="1" thickBot="1" x14ac:dyDescent="0.3">
      <c r="B17" s="83"/>
      <c r="C17" s="84"/>
      <c r="D17" s="85"/>
      <c r="E17" s="75"/>
      <c r="F17" s="76"/>
      <c r="G17" s="71"/>
      <c r="H17" s="72"/>
      <c r="I17" s="27"/>
      <c r="J17" s="71"/>
      <c r="K17" s="72"/>
      <c r="L17" s="27"/>
      <c r="M17" s="71"/>
      <c r="N17" s="72"/>
      <c r="O17" s="27"/>
      <c r="P17" s="60"/>
      <c r="Q17" s="61"/>
      <c r="R17" s="62"/>
    </row>
    <row r="18" spans="2:18" ht="15" customHeight="1" x14ac:dyDescent="0.25">
      <c r="B18" s="63" t="s">
        <v>12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</row>
    <row r="19" spans="2:18" ht="21.95" customHeight="1" thickBot="1" x14ac:dyDescent="0.3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8"/>
    </row>
    <row r="20" spans="2:18" ht="21.95" customHeight="1" x14ac:dyDescent="0.25">
      <c r="B20" s="51" t="s">
        <v>14</v>
      </c>
      <c r="C20" s="52"/>
      <c r="D20" s="52"/>
      <c r="E20" s="52"/>
      <c r="F20" s="53"/>
      <c r="G20" s="51" t="s">
        <v>54</v>
      </c>
      <c r="H20" s="52"/>
      <c r="I20" s="52"/>
      <c r="J20" s="52"/>
      <c r="K20" s="52"/>
      <c r="L20" s="52"/>
      <c r="M20" s="52"/>
      <c r="N20" s="52"/>
      <c r="O20" s="53"/>
      <c r="P20" s="51"/>
      <c r="Q20" s="52"/>
      <c r="R20" s="53"/>
    </row>
    <row r="21" spans="2:18" ht="12" customHeight="1" thickBot="1" x14ac:dyDescent="0.3">
      <c r="B21" s="54"/>
      <c r="C21" s="55"/>
      <c r="D21" s="55"/>
      <c r="E21" s="55"/>
      <c r="F21" s="56"/>
      <c r="G21" s="54"/>
      <c r="H21" s="55"/>
      <c r="I21" s="55"/>
      <c r="J21" s="55"/>
      <c r="K21" s="55"/>
      <c r="L21" s="55"/>
      <c r="M21" s="55"/>
      <c r="N21" s="55"/>
      <c r="O21" s="56"/>
      <c r="P21" s="54"/>
      <c r="Q21" s="55"/>
      <c r="R21" s="56"/>
    </row>
    <row r="22" spans="2:18" ht="21.95" customHeight="1" x14ac:dyDescent="0.25">
      <c r="B22" s="115" t="s">
        <v>10</v>
      </c>
      <c r="C22" s="116"/>
      <c r="D22" s="109" t="s">
        <v>8</v>
      </c>
      <c r="E22" s="110"/>
      <c r="F22" s="111"/>
      <c r="G22" s="122" t="s">
        <v>15</v>
      </c>
      <c r="H22" s="37" t="s">
        <v>13</v>
      </c>
      <c r="I22" s="38"/>
      <c r="J22" s="122" t="s">
        <v>15</v>
      </c>
      <c r="K22" s="37" t="s">
        <v>13</v>
      </c>
      <c r="L22" s="38"/>
      <c r="M22" s="122" t="s">
        <v>15</v>
      </c>
      <c r="N22" s="37" t="s">
        <v>13</v>
      </c>
      <c r="O22" s="38"/>
      <c r="P22" s="122"/>
      <c r="Q22" s="37"/>
      <c r="R22" s="38"/>
    </row>
    <row r="23" spans="2:18" ht="21.95" customHeight="1" thickBot="1" x14ac:dyDescent="0.3">
      <c r="B23" s="117"/>
      <c r="C23" s="118"/>
      <c r="D23" s="112"/>
      <c r="E23" s="113"/>
      <c r="F23" s="114"/>
      <c r="G23" s="123"/>
      <c r="H23" s="39"/>
      <c r="I23" s="40"/>
      <c r="J23" s="123"/>
      <c r="K23" s="39"/>
      <c r="L23" s="40"/>
      <c r="M23" s="123"/>
      <c r="N23" s="39"/>
      <c r="O23" s="40"/>
      <c r="P23" s="123"/>
      <c r="Q23" s="39"/>
      <c r="R23" s="40"/>
    </row>
    <row r="24" spans="2:18" ht="21.95" customHeight="1" x14ac:dyDescent="0.25">
      <c r="B24" s="88">
        <v>0.47</v>
      </c>
      <c r="C24" s="89"/>
      <c r="D24" s="119" t="s">
        <v>49</v>
      </c>
      <c r="E24" s="120"/>
      <c r="F24" s="121"/>
      <c r="G24" s="94" t="s">
        <v>16</v>
      </c>
      <c r="H24" s="96" t="s">
        <v>9</v>
      </c>
      <c r="I24" s="97"/>
      <c r="J24" s="94" t="s">
        <v>16</v>
      </c>
      <c r="K24" s="96" t="s">
        <v>9</v>
      </c>
      <c r="L24" s="97"/>
      <c r="M24" s="94" t="s">
        <v>16</v>
      </c>
      <c r="N24" s="96" t="s">
        <v>9</v>
      </c>
      <c r="O24" s="97"/>
      <c r="P24" s="92"/>
      <c r="Q24" s="96"/>
      <c r="R24" s="97"/>
    </row>
    <row r="25" spans="2:18" ht="21.95" customHeight="1" thickBot="1" x14ac:dyDescent="0.3">
      <c r="B25" s="90"/>
      <c r="C25" s="91"/>
      <c r="D25" s="100" t="s">
        <v>50</v>
      </c>
      <c r="E25" s="101"/>
      <c r="F25" s="102"/>
      <c r="G25" s="95"/>
      <c r="H25" s="98"/>
      <c r="I25" s="99"/>
      <c r="J25" s="95"/>
      <c r="K25" s="98"/>
      <c r="L25" s="99"/>
      <c r="M25" s="95"/>
      <c r="N25" s="98"/>
      <c r="O25" s="99"/>
      <c r="P25" s="93"/>
      <c r="Q25" s="98"/>
      <c r="R25" s="99"/>
    </row>
    <row r="26" spans="2:18" ht="21.95" customHeight="1" x14ac:dyDescent="0.25">
      <c r="B26" s="88">
        <v>0.53</v>
      </c>
      <c r="C26" s="89"/>
      <c r="D26" s="119" t="s">
        <v>24</v>
      </c>
      <c r="E26" s="120"/>
      <c r="F26" s="121"/>
      <c r="G26" s="94" t="s">
        <v>48</v>
      </c>
      <c r="H26" s="96" t="s">
        <v>23</v>
      </c>
      <c r="I26" s="97"/>
      <c r="J26" s="94" t="s">
        <v>48</v>
      </c>
      <c r="K26" s="96" t="s">
        <v>23</v>
      </c>
      <c r="L26" s="97"/>
      <c r="M26" s="94" t="s">
        <v>48</v>
      </c>
      <c r="N26" s="96" t="s">
        <v>23</v>
      </c>
      <c r="O26" s="97"/>
      <c r="P26" s="92"/>
      <c r="Q26" s="96"/>
      <c r="R26" s="97"/>
    </row>
    <row r="27" spans="2:18" ht="21.95" customHeight="1" thickBot="1" x14ac:dyDescent="0.3">
      <c r="B27" s="90"/>
      <c r="C27" s="91"/>
      <c r="D27" s="100" t="s">
        <v>11</v>
      </c>
      <c r="E27" s="101"/>
      <c r="F27" s="102"/>
      <c r="G27" s="95"/>
      <c r="H27" s="98"/>
      <c r="I27" s="99"/>
      <c r="J27" s="95"/>
      <c r="K27" s="98"/>
      <c r="L27" s="99"/>
      <c r="M27" s="95"/>
      <c r="N27" s="98"/>
      <c r="O27" s="99"/>
      <c r="P27" s="93"/>
      <c r="Q27" s="98"/>
      <c r="R27" s="99"/>
    </row>
    <row r="28" spans="2:18" ht="21.95" customHeight="1" x14ac:dyDescent="0.25">
      <c r="B28" s="88"/>
      <c r="C28" s="89"/>
      <c r="D28" s="119"/>
      <c r="E28" s="120"/>
      <c r="F28" s="121"/>
      <c r="G28" s="94"/>
      <c r="H28" s="96"/>
      <c r="I28" s="97"/>
      <c r="J28" s="94"/>
      <c r="K28" s="96"/>
      <c r="L28" s="97"/>
      <c r="M28" s="92"/>
      <c r="N28" s="96"/>
      <c r="O28" s="97"/>
      <c r="P28" s="92"/>
      <c r="Q28" s="96"/>
      <c r="R28" s="97"/>
    </row>
    <row r="29" spans="2:18" ht="21.95" customHeight="1" thickBot="1" x14ac:dyDescent="0.3">
      <c r="B29" s="90"/>
      <c r="C29" s="91"/>
      <c r="D29" s="100"/>
      <c r="E29" s="101"/>
      <c r="F29" s="102"/>
      <c r="G29" s="95"/>
      <c r="H29" s="98"/>
      <c r="I29" s="99"/>
      <c r="J29" s="95"/>
      <c r="K29" s="98"/>
      <c r="L29" s="99"/>
      <c r="M29" s="93"/>
      <c r="N29" s="98"/>
      <c r="O29" s="99"/>
      <c r="P29" s="93"/>
      <c r="Q29" s="98"/>
      <c r="R29" s="99"/>
    </row>
    <row r="30" spans="2:18" ht="21.95" customHeight="1" x14ac:dyDescent="0.25">
      <c r="B30" s="88"/>
      <c r="C30" s="89"/>
      <c r="D30" s="103"/>
      <c r="E30" s="104"/>
      <c r="F30" s="105"/>
      <c r="G30" s="92"/>
      <c r="H30" s="96"/>
      <c r="I30" s="97"/>
      <c r="J30" s="92"/>
      <c r="K30" s="96"/>
      <c r="L30" s="97"/>
      <c r="M30" s="92"/>
      <c r="N30" s="96"/>
      <c r="O30" s="97"/>
      <c r="P30" s="92"/>
      <c r="Q30" s="96"/>
      <c r="R30" s="97"/>
    </row>
    <row r="31" spans="2:18" ht="21.95" customHeight="1" thickBot="1" x14ac:dyDescent="0.3">
      <c r="B31" s="90"/>
      <c r="C31" s="91"/>
      <c r="D31" s="106"/>
      <c r="E31" s="107"/>
      <c r="F31" s="108"/>
      <c r="G31" s="93"/>
      <c r="H31" s="98"/>
      <c r="I31" s="99"/>
      <c r="J31" s="93"/>
      <c r="K31" s="98"/>
      <c r="L31" s="99"/>
      <c r="M31" s="93"/>
      <c r="N31" s="98"/>
      <c r="O31" s="99"/>
      <c r="P31" s="93"/>
      <c r="Q31" s="98"/>
      <c r="R31" s="99"/>
    </row>
    <row r="32" spans="2:18" ht="21.95" customHeight="1" x14ac:dyDescent="0.25">
      <c r="B32" s="88"/>
      <c r="C32" s="89"/>
      <c r="D32" s="103"/>
      <c r="E32" s="104"/>
      <c r="F32" s="105"/>
      <c r="G32" s="92"/>
      <c r="H32" s="96"/>
      <c r="I32" s="97"/>
      <c r="J32" s="92"/>
      <c r="K32" s="96"/>
      <c r="L32" s="97"/>
      <c r="M32" s="92"/>
      <c r="N32" s="96"/>
      <c r="O32" s="97"/>
      <c r="P32" s="92"/>
      <c r="Q32" s="96"/>
      <c r="R32" s="97"/>
    </row>
    <row r="33" spans="2:18" ht="21.95" customHeight="1" thickBot="1" x14ac:dyDescent="0.3">
      <c r="B33" s="90"/>
      <c r="C33" s="91"/>
      <c r="D33" s="106"/>
      <c r="E33" s="107"/>
      <c r="F33" s="108"/>
      <c r="G33" s="93"/>
      <c r="H33" s="98"/>
      <c r="I33" s="99"/>
      <c r="J33" s="93"/>
      <c r="K33" s="98"/>
      <c r="L33" s="99"/>
      <c r="M33" s="93"/>
      <c r="N33" s="98"/>
      <c r="O33" s="99"/>
      <c r="P33" s="93"/>
      <c r="Q33" s="98"/>
      <c r="R33" s="99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1"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D27:F27"/>
    <mergeCell ref="D26:F26"/>
    <mergeCell ref="I16:I17"/>
    <mergeCell ref="J26:J27"/>
    <mergeCell ref="J32:J33"/>
    <mergeCell ref="K32:L33"/>
    <mergeCell ref="G30:G31"/>
    <mergeCell ref="H30:I31"/>
    <mergeCell ref="J16:K17"/>
    <mergeCell ref="L16:L17"/>
    <mergeCell ref="G20:O21"/>
    <mergeCell ref="G22:G23"/>
    <mergeCell ref="H22:I23"/>
    <mergeCell ref="M16:N17"/>
    <mergeCell ref="H32:I33"/>
    <mergeCell ref="H24:I25"/>
    <mergeCell ref="G26:G27"/>
    <mergeCell ref="H26:I27"/>
    <mergeCell ref="M32:M33"/>
    <mergeCell ref="N32:O33"/>
    <mergeCell ref="G32:G33"/>
    <mergeCell ref="K28:L29"/>
    <mergeCell ref="K26:L27"/>
    <mergeCell ref="J22:J23"/>
    <mergeCell ref="G24:G25"/>
    <mergeCell ref="E2:R3"/>
    <mergeCell ref="M14:N15"/>
    <mergeCell ref="E8:F9"/>
    <mergeCell ref="E10:F11"/>
    <mergeCell ref="E12:F13"/>
    <mergeCell ref="E14:F15"/>
    <mergeCell ref="O14:O15"/>
    <mergeCell ref="I14:I15"/>
    <mergeCell ref="G8:R9"/>
    <mergeCell ref="G10:I11"/>
    <mergeCell ref="J10:L11"/>
    <mergeCell ref="M10:O11"/>
    <mergeCell ref="P10:R11"/>
    <mergeCell ref="K22:L23"/>
    <mergeCell ref="N24:O25"/>
    <mergeCell ref="N22:O23"/>
    <mergeCell ref="P14:R15"/>
    <mergeCell ref="P16:R17"/>
    <mergeCell ref="P22:P23"/>
    <mergeCell ref="Q24:R25"/>
    <mergeCell ref="P24:P25"/>
    <mergeCell ref="B32:C33"/>
    <mergeCell ref="M28:M29"/>
    <mergeCell ref="J24:J25"/>
    <mergeCell ref="K24:L25"/>
    <mergeCell ref="D25:F25"/>
    <mergeCell ref="M24:M25"/>
    <mergeCell ref="B28:C29"/>
    <mergeCell ref="B26:C27"/>
    <mergeCell ref="B30:C31"/>
    <mergeCell ref="M30:M31"/>
    <mergeCell ref="J30:J31"/>
    <mergeCell ref="K30:L31"/>
    <mergeCell ref="D30:F30"/>
    <mergeCell ref="D31:F31"/>
    <mergeCell ref="D32:F32"/>
    <mergeCell ref="B24:C25"/>
    <mergeCell ref="D24:F24"/>
    <mergeCell ref="D33:F33"/>
    <mergeCell ref="M26:M27"/>
    <mergeCell ref="D28:F28"/>
    <mergeCell ref="G28:G29"/>
    <mergeCell ref="H28:I29"/>
    <mergeCell ref="D29:F29"/>
    <mergeCell ref="J28:J29"/>
    <mergeCell ref="B2:D3"/>
    <mergeCell ref="O16:O17"/>
    <mergeCell ref="E4:R7"/>
    <mergeCell ref="Q22:R23"/>
    <mergeCell ref="G12:I13"/>
    <mergeCell ref="M12:O13"/>
    <mergeCell ref="G14:H15"/>
    <mergeCell ref="P20:R21"/>
    <mergeCell ref="P12:R13"/>
    <mergeCell ref="B18:R19"/>
    <mergeCell ref="G16:H17"/>
    <mergeCell ref="E16:F17"/>
    <mergeCell ref="B20:F21"/>
    <mergeCell ref="B4:D17"/>
    <mergeCell ref="J12:L13"/>
    <mergeCell ref="J14:K15"/>
    <mergeCell ref="L14:L15"/>
    <mergeCell ref="D22:F23"/>
    <mergeCell ref="B22:C23"/>
    <mergeCell ref="M22:M23"/>
  </mergeCells>
  <phoneticPr fontId="7" type="noConversion"/>
  <printOptions horizontalCentered="1" verticalCentered="1"/>
  <pageMargins left="0" right="0" top="0" bottom="0" header="0" footer="0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6F30-FD13-491A-93CC-725372EDCC0A}">
  <dimension ref="A1:P27"/>
  <sheetViews>
    <sheetView workbookViewId="0">
      <selection activeCell="G24" sqref="G24"/>
    </sheetView>
  </sheetViews>
  <sheetFormatPr baseColWidth="10" defaultColWidth="8.85546875" defaultRowHeight="14.25" x14ac:dyDescent="0.2"/>
  <cols>
    <col min="1" max="1" width="11.28515625" style="3" bestFit="1" customWidth="1"/>
    <col min="2" max="2" width="12.5703125" style="3" bestFit="1" customWidth="1"/>
    <col min="3" max="3" width="9.85546875" style="3" bestFit="1" customWidth="1"/>
    <col min="4" max="4" width="8.85546875" style="3"/>
    <col min="5" max="5" width="3.7109375" style="3" bestFit="1" customWidth="1"/>
    <col min="6" max="6" width="5.28515625" style="3" customWidth="1"/>
    <col min="7" max="7" width="8.85546875" style="3"/>
    <col min="8" max="8" width="13.5703125" style="3" customWidth="1"/>
    <col min="9" max="9" width="2.28515625" style="3" customWidth="1"/>
    <col min="10" max="10" width="8.140625" style="3" bestFit="1" customWidth="1"/>
    <col min="11" max="11" width="6.140625" style="3" bestFit="1" customWidth="1"/>
    <col min="12" max="12" width="1.5703125" style="3" customWidth="1"/>
    <col min="13" max="16" width="8.85546875" style="3"/>
    <col min="17" max="17" width="3.7109375" style="3" customWidth="1"/>
    <col min="18" max="16384" width="8.85546875" style="3"/>
  </cols>
  <sheetData>
    <row r="1" spans="1:16" ht="18" customHeight="1" x14ac:dyDescent="0.25">
      <c r="D1" s="135">
        <v>45921</v>
      </c>
      <c r="E1" s="135"/>
      <c r="F1" s="136"/>
      <c r="H1" s="4" t="s">
        <v>25</v>
      </c>
      <c r="J1" s="137" t="s">
        <v>26</v>
      </c>
      <c r="K1" s="138"/>
      <c r="L1" s="138"/>
      <c r="M1" s="138"/>
      <c r="N1" s="138"/>
      <c r="O1" s="138"/>
      <c r="P1" s="139"/>
    </row>
    <row r="2" spans="1:16" ht="18" customHeight="1" x14ac:dyDescent="0.25">
      <c r="D2" s="135">
        <v>45950</v>
      </c>
      <c r="E2" s="135"/>
      <c r="F2" s="136"/>
      <c r="H2" s="143">
        <v>30</v>
      </c>
      <c r="J2" s="140"/>
      <c r="K2" s="141"/>
      <c r="L2" s="141"/>
      <c r="M2" s="141"/>
      <c r="N2" s="141"/>
      <c r="O2" s="141"/>
      <c r="P2" s="142"/>
    </row>
    <row r="3" spans="1:16" ht="18" x14ac:dyDescent="0.25">
      <c r="D3" s="5">
        <f>D2-D1</f>
        <v>29</v>
      </c>
      <c r="E3" s="5"/>
      <c r="F3" s="5" t="s">
        <v>27</v>
      </c>
      <c r="H3" s="143"/>
      <c r="J3" s="6"/>
      <c r="P3" s="7"/>
    </row>
    <row r="4" spans="1:16" ht="18.75" x14ac:dyDescent="0.3">
      <c r="D4" s="144" t="s">
        <v>28</v>
      </c>
      <c r="E4" s="144"/>
      <c r="F4" s="144"/>
      <c r="J4" s="6"/>
      <c r="P4" s="7"/>
    </row>
    <row r="5" spans="1:16" x14ac:dyDescent="0.2">
      <c r="D5" s="134">
        <v>1150</v>
      </c>
      <c r="E5" s="134"/>
      <c r="F5" s="134"/>
      <c r="J5" s="8"/>
      <c r="K5" s="9"/>
      <c r="L5" s="9"/>
      <c r="P5" s="7"/>
    </row>
    <row r="6" spans="1:16" ht="18" x14ac:dyDescent="0.2">
      <c r="D6" s="134"/>
      <c r="E6" s="134"/>
      <c r="F6" s="134"/>
      <c r="G6" s="10" t="s">
        <v>29</v>
      </c>
      <c r="H6" s="10" t="s">
        <v>30</v>
      </c>
      <c r="J6" s="3" t="s">
        <v>31</v>
      </c>
      <c r="K6" s="3" t="s">
        <v>32</v>
      </c>
      <c r="M6" s="6"/>
      <c r="P6" s="7"/>
    </row>
    <row r="7" spans="1:16" ht="18" x14ac:dyDescent="0.25">
      <c r="D7" s="10" t="s">
        <v>33</v>
      </c>
      <c r="E7" s="11">
        <v>1</v>
      </c>
      <c r="F7" s="12" t="s">
        <v>34</v>
      </c>
      <c r="G7" s="13"/>
      <c r="H7" s="14"/>
      <c r="J7" s="15"/>
      <c r="K7" s="15"/>
      <c r="M7" s="6"/>
      <c r="P7" s="7"/>
    </row>
    <row r="8" spans="1:16" ht="18" x14ac:dyDescent="0.25">
      <c r="D8" s="10" t="s">
        <v>33</v>
      </c>
      <c r="E8" s="11">
        <v>2</v>
      </c>
      <c r="F8" s="12" t="s">
        <v>34</v>
      </c>
      <c r="G8" s="13"/>
      <c r="H8" s="15"/>
      <c r="J8" s="15"/>
      <c r="K8" s="15"/>
      <c r="M8" s="6"/>
      <c r="P8" s="7"/>
    </row>
    <row r="9" spans="1:16" ht="18" x14ac:dyDescent="0.25">
      <c r="D9" s="10" t="s">
        <v>33</v>
      </c>
      <c r="E9" s="11">
        <v>3</v>
      </c>
      <c r="F9" s="12" t="s">
        <v>34</v>
      </c>
      <c r="G9" s="13"/>
      <c r="H9" s="15"/>
      <c r="J9" s="15"/>
      <c r="K9" s="15"/>
      <c r="M9" s="6"/>
      <c r="P9" s="7"/>
    </row>
    <row r="10" spans="1:16" ht="18" x14ac:dyDescent="0.25">
      <c r="D10" s="10" t="s">
        <v>33</v>
      </c>
      <c r="E10" s="11">
        <v>4</v>
      </c>
      <c r="F10" s="12" t="s">
        <v>34</v>
      </c>
      <c r="G10" s="13"/>
      <c r="H10" s="15"/>
      <c r="J10" s="15"/>
      <c r="K10" s="15"/>
      <c r="M10" s="6"/>
      <c r="P10" s="7"/>
    </row>
    <row r="11" spans="1:16" ht="18" x14ac:dyDescent="0.25">
      <c r="D11" s="10" t="s">
        <v>33</v>
      </c>
      <c r="E11" s="11">
        <v>5</v>
      </c>
      <c r="F11" s="12" t="s">
        <v>34</v>
      </c>
      <c r="G11" s="13"/>
      <c r="H11" s="15"/>
      <c r="J11" s="15"/>
      <c r="K11" s="15"/>
      <c r="M11" s="6"/>
      <c r="P11" s="7"/>
    </row>
    <row r="12" spans="1:16" ht="18" x14ac:dyDescent="0.25">
      <c r="D12" s="10" t="s">
        <v>33</v>
      </c>
      <c r="E12" s="11">
        <v>6</v>
      </c>
      <c r="F12" s="12" t="s">
        <v>34</v>
      </c>
      <c r="G12" s="13"/>
      <c r="H12" s="15"/>
      <c r="J12" s="15"/>
      <c r="K12" s="15"/>
      <c r="M12" s="6"/>
      <c r="P12" s="7"/>
    </row>
    <row r="13" spans="1:16" ht="20.25" x14ac:dyDescent="0.3">
      <c r="A13" s="16" t="s">
        <v>35</v>
      </c>
      <c r="B13" s="10" t="s">
        <v>36</v>
      </c>
      <c r="D13" s="10" t="s">
        <v>33</v>
      </c>
      <c r="E13" s="11">
        <v>7</v>
      </c>
      <c r="F13" s="12" t="s">
        <v>34</v>
      </c>
      <c r="G13" s="13"/>
      <c r="H13" s="15"/>
      <c r="J13" s="15"/>
      <c r="K13" s="15"/>
      <c r="M13" s="6"/>
      <c r="P13" s="7"/>
    </row>
    <row r="14" spans="1:16" ht="20.25" x14ac:dyDescent="0.3">
      <c r="A14" s="16" t="s">
        <v>37</v>
      </c>
      <c r="B14" s="17" t="s">
        <v>38</v>
      </c>
      <c r="D14" s="10" t="s">
        <v>33</v>
      </c>
      <c r="E14" s="11">
        <v>8</v>
      </c>
      <c r="F14" s="12" t="s">
        <v>34</v>
      </c>
      <c r="G14" s="13"/>
      <c r="H14" s="15"/>
      <c r="J14" s="15"/>
      <c r="K14" s="15"/>
      <c r="M14" s="6"/>
      <c r="P14" s="7"/>
    </row>
    <row r="15" spans="1:16" ht="20.25" x14ac:dyDescent="0.3">
      <c r="A15" s="16" t="s">
        <v>39</v>
      </c>
      <c r="B15" s="17">
        <v>0.17380000000000001</v>
      </c>
      <c r="D15" s="10" t="s">
        <v>33</v>
      </c>
      <c r="E15" s="11">
        <v>9</v>
      </c>
      <c r="F15" s="12" t="s">
        <v>34</v>
      </c>
      <c r="G15" s="13"/>
      <c r="H15" s="15"/>
      <c r="J15" s="15"/>
      <c r="K15" s="15"/>
      <c r="M15" s="6"/>
      <c r="P15" s="7"/>
    </row>
    <row r="16" spans="1:16" ht="20.25" x14ac:dyDescent="0.3">
      <c r="A16" s="16" t="s">
        <v>40</v>
      </c>
      <c r="B16" s="18">
        <v>0.27083333333333331</v>
      </c>
      <c r="D16" s="10" t="s">
        <v>33</v>
      </c>
      <c r="E16" s="11">
        <v>10</v>
      </c>
      <c r="F16" s="12" t="s">
        <v>34</v>
      </c>
      <c r="G16" s="13"/>
      <c r="H16" s="15"/>
      <c r="J16" s="15"/>
      <c r="K16" s="15"/>
      <c r="M16" s="6"/>
      <c r="P16" s="7"/>
    </row>
    <row r="17" spans="1:16" ht="18" x14ac:dyDescent="0.25">
      <c r="D17" s="10" t="s">
        <v>33</v>
      </c>
      <c r="E17" s="11">
        <v>11</v>
      </c>
      <c r="F17" s="12" t="s">
        <v>34</v>
      </c>
      <c r="G17" s="13"/>
      <c r="H17" s="15"/>
      <c r="J17" s="15"/>
      <c r="K17" s="15"/>
      <c r="M17" s="6"/>
      <c r="P17" s="7"/>
    </row>
    <row r="18" spans="1:16" ht="18.75" x14ac:dyDescent="0.3">
      <c r="A18" s="144" t="s">
        <v>8</v>
      </c>
      <c r="B18" s="144"/>
      <c r="D18" s="10" t="s">
        <v>41</v>
      </c>
      <c r="E18" s="11">
        <v>12</v>
      </c>
      <c r="F18" s="12" t="s">
        <v>34</v>
      </c>
      <c r="G18" s="13"/>
      <c r="H18" s="15"/>
      <c r="J18" s="15"/>
      <c r="K18" s="15"/>
      <c r="M18" s="6"/>
      <c r="P18" s="7"/>
    </row>
    <row r="19" spans="1:16" ht="18" x14ac:dyDescent="0.25">
      <c r="A19" s="136" t="s">
        <v>42</v>
      </c>
      <c r="B19" s="136"/>
      <c r="C19" s="19">
        <v>0.54</v>
      </c>
      <c r="J19" s="11"/>
      <c r="M19" s="6"/>
      <c r="P19" s="7"/>
    </row>
    <row r="20" spans="1:16" ht="20.25" x14ac:dyDescent="0.3">
      <c r="A20" s="145" t="s">
        <v>43</v>
      </c>
      <c r="B20" s="145"/>
      <c r="C20" s="19">
        <v>0.46</v>
      </c>
      <c r="J20" s="11"/>
      <c r="M20" s="6"/>
      <c r="P20" s="7"/>
    </row>
    <row r="21" spans="1:16" ht="18" x14ac:dyDescent="0.25">
      <c r="A21" s="146" t="s">
        <v>44</v>
      </c>
      <c r="B21" s="146"/>
      <c r="C21" s="146"/>
      <c r="J21" s="11"/>
      <c r="M21" s="6"/>
      <c r="P21" s="7"/>
    </row>
    <row r="22" spans="1:16" ht="18" x14ac:dyDescent="0.25">
      <c r="J22" s="11"/>
      <c r="M22" s="6"/>
      <c r="P22" s="7"/>
    </row>
    <row r="23" spans="1:16" ht="18.75" x14ac:dyDescent="0.3">
      <c r="A23" s="144" t="s">
        <v>12</v>
      </c>
      <c r="B23" s="144"/>
      <c r="J23" s="11"/>
      <c r="M23" s="6"/>
      <c r="P23" s="7"/>
    </row>
    <row r="24" spans="1:16" ht="18" x14ac:dyDescent="0.25">
      <c r="A24" s="10" t="s">
        <v>45</v>
      </c>
      <c r="B24" s="10" t="s">
        <v>46</v>
      </c>
      <c r="J24" s="11"/>
      <c r="M24" s="6"/>
      <c r="P24" s="7"/>
    </row>
    <row r="25" spans="1:16" ht="18" x14ac:dyDescent="0.25">
      <c r="A25" s="10" t="s">
        <v>16</v>
      </c>
      <c r="B25" s="10" t="s">
        <v>47</v>
      </c>
      <c r="J25" s="11"/>
      <c r="M25" s="6"/>
      <c r="P25" s="7"/>
    </row>
    <row r="26" spans="1:16" ht="18" x14ac:dyDescent="0.25">
      <c r="A26" s="10" t="s">
        <v>48</v>
      </c>
      <c r="B26" s="10" t="s">
        <v>47</v>
      </c>
      <c r="J26" s="11"/>
      <c r="M26" s="8"/>
      <c r="N26" s="9"/>
      <c r="O26" s="9"/>
      <c r="P26" s="13"/>
    </row>
    <row r="27" spans="1:16" ht="18" x14ac:dyDescent="0.25">
      <c r="D27" s="11"/>
      <c r="E27" s="11"/>
    </row>
  </sheetData>
  <mergeCells count="11">
    <mergeCell ref="A18:B18"/>
    <mergeCell ref="A19:B19"/>
    <mergeCell ref="A20:B20"/>
    <mergeCell ref="A21:C21"/>
    <mergeCell ref="A23:B23"/>
    <mergeCell ref="D5:F6"/>
    <mergeCell ref="D1:F1"/>
    <mergeCell ref="J1:P2"/>
    <mergeCell ref="D2:F2"/>
    <mergeCell ref="H2:H3"/>
    <mergeCell ref="D4:F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2025-12-30T22:08:22Z</cp:lastPrinted>
  <dcterms:created xsi:type="dcterms:W3CDTF">2023-10-31T20:19:37Z</dcterms:created>
  <dcterms:modified xsi:type="dcterms:W3CDTF">2025-12-30T22:53:20Z</dcterms:modified>
  <dc:language>es-MX</dc:language>
</cp:coreProperties>
</file>