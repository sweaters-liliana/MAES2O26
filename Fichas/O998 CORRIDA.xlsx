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98 CROPTOP SIZADO CUELLO SEMICUADRADO CON LETILLA CON BOTONES\"/>
    </mc:Choice>
  </mc:AlternateContent>
  <xr:revisionPtr revIDLastSave="0" documentId="13_ncr:1_{F195D11E-E5B5-48F8-9670-CCFACC8D7E3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J14" i="1"/>
  <c r="G14" i="1"/>
</calcChain>
</file>

<file path=xl/sharedStrings.xml><?xml version="1.0" encoding="utf-8"?>
<sst xmlns="http://schemas.openxmlformats.org/spreadsheetml/2006/main" count="125" uniqueCount="45">
  <si>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</si>
  <si>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</si>
  <si>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</si>
  <si>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</si>
  <si>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</si>
  <si>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</si>
  <si>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</si>
  <si>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</si>
  <si>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</si>
  <si>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</si>
  <si>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</si>
  <si>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</si>
  <si>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</si>
  <si>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MEDIANA</t>
  </si>
  <si>
    <t>70/68</t>
  </si>
  <si>
    <t>ENHEBRADO</t>
  </si>
  <si>
    <t>20/70/68</t>
  </si>
  <si>
    <t>CROP TOP</t>
  </si>
  <si>
    <t>CHICA</t>
  </si>
  <si>
    <t>GRANDE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</si>
  <si>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</si>
  <si>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</si>
  <si>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</si>
  <si>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</si>
  <si>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</si>
  <si>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</si>
  <si>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</si>
  <si>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CIXING</t>
  </si>
  <si>
    <t>NO LLEVA</t>
  </si>
  <si>
    <t>#5</t>
  </si>
  <si>
    <t>#2</t>
  </si>
  <si>
    <t>#6</t>
  </si>
  <si>
    <t>LICRA YUKI</t>
  </si>
  <si>
    <r>
      <t>CROPTOP SIZADO CUELLO REDONDO CON LETILLA CON BOTONES (</t>
    </r>
    <r>
      <rPr>
        <b/>
        <sz val="20"/>
        <color rgb="FFFF0000"/>
        <rFont val="Consolas"/>
        <family val="3"/>
      </rPr>
      <t>JR134</t>
    </r>
    <r>
      <rPr>
        <b/>
        <sz val="18"/>
        <color rgb="FF000000"/>
        <rFont val="Consolas"/>
        <family val="3"/>
      </rPr>
      <t>)</t>
    </r>
  </si>
  <si>
    <t>O998T38G</t>
  </si>
  <si>
    <t>O998T31M</t>
  </si>
  <si>
    <t>O998T08C</t>
  </si>
  <si>
    <t>SANTONI TOP2</t>
  </si>
  <si>
    <t>SANTONI TOP2V</t>
  </si>
  <si>
    <t>#1</t>
  </si>
  <si>
    <t>EXTRA</t>
  </si>
  <si>
    <t>O998T35X</t>
  </si>
  <si>
    <r>
      <t>CROPTOP SIZADO CUELLO REDONDO CON LETILLA CON BOTONES (</t>
    </r>
    <r>
      <rPr>
        <b/>
        <sz val="11"/>
        <color rgb="FFFF0000"/>
        <rFont val="Consolas"/>
        <family val="3"/>
      </rPr>
      <t>JR134</t>
    </r>
    <r>
      <rPr>
        <b/>
        <sz val="11"/>
        <color rgb="FF000000"/>
        <rFont val="Consolas"/>
        <family val="3"/>
      </rPr>
      <t>)</t>
    </r>
  </si>
  <si>
    <t>TOP2V #35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</si>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</sst>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20"/>
      <color rgb="FFFF000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b/>
      <sz val="18"/>
      <color theme="0" tint="-4.9989318521683403E-2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1"/>
      <color rgb="FFFF0000"/>
      <name val="Consolas"/>
      <family val="3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7" tint="-0.249977111117893"/>
        <bgColor rgb="FFFFFFCC"/>
      </patternFill>
    </fill>
    <fill>
      <patternFill patternType="solid">
        <fgColor theme="6" tint="-0.499984740745262"/>
        <bgColor rgb="FFFFFFCC"/>
      </patternFill>
    </fill>
    <fill>
      <patternFill patternType="solid">
        <fgColor theme="7" tint="-0.499984740745262"/>
        <bgColor rgb="FFFFFFCC"/>
      </patternFill>
    </fill>
    <fill>
      <patternFill patternType="mediumGray">
        <fgColor theme="0"/>
        <bgColor theme="5" tint="0.79998168889431442"/>
      </patternFill>
    </fill>
    <fill>
      <patternFill patternType="mediumGray">
        <fgColor theme="0"/>
        <bgColor theme="6" tint="0.79998168889431442"/>
      </patternFill>
    </fill>
    <fill>
      <patternFill patternType="mediumGray">
        <fgColor theme="0"/>
        <bgColor theme="7" tint="0.79998168889431442"/>
      </patternFill>
    </fill>
    <fill>
      <patternFill patternType="darkUp">
        <fgColor theme="6" tint="-0.499984740745262"/>
        <bgColor rgb="FFFF0000"/>
      </patternFill>
    </fill>
    <fill>
      <patternFill patternType="darkDown">
        <fgColor rgb="FFFF0000"/>
        <bgColor theme="9" tint="-0.499984740745262"/>
      </patternFill>
    </fill>
    <fill>
      <patternFill patternType="darkDown">
        <fgColor theme="6" tint="-0.499984740745262"/>
        <bgColor rgb="FFFF0000"/>
      </patternFill>
    </fill>
    <fill>
      <patternFill patternType="solid">
        <fgColor theme="5" tint="0.79998168889431442"/>
        <bgColor rgb="FFFFFFCC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14">
    <xf numFmtId="0" fontId="0" fillId="0" borderId="0" xfId="0"/>
    <xf numFmtId="0" fontId="1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8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45" fontId="8" fillId="2" borderId="19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8" fillId="2" borderId="21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45" fontId="9" fillId="8" borderId="8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45" fontId="9" fillId="9" borderId="2" xfId="0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5" fontId="9" fillId="10" borderId="18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17" fillId="20" borderId="8" xfId="0" applyFont="1" applyFill="1" applyBorder="1" applyAlignment="1">
      <alignment horizontal="center" vertical="center" wrapText="1"/>
    </xf>
    <xf numFmtId="0" fontId="17" fillId="20" borderId="3" xfId="0" applyFont="1" applyFill="1" applyBorder="1" applyAlignment="1">
      <alignment horizontal="center" vertical="center" wrapText="1"/>
    </xf>
    <xf numFmtId="0" fontId="17" fillId="20" borderId="4" xfId="0" applyFont="1" applyFill="1" applyBorder="1" applyAlignment="1">
      <alignment horizontal="center" vertical="center" wrapText="1"/>
    </xf>
    <xf numFmtId="0" fontId="17" fillId="20" borderId="9" xfId="0" applyFont="1" applyFill="1" applyBorder="1" applyAlignment="1">
      <alignment horizontal="center" vertical="center" wrapText="1"/>
    </xf>
    <xf numFmtId="0" fontId="17" fillId="20" borderId="6" xfId="0" applyFont="1" applyFill="1" applyBorder="1" applyAlignment="1">
      <alignment horizontal="center" vertical="center" wrapText="1"/>
    </xf>
    <xf numFmtId="0" fontId="17" fillId="20" borderId="7" xfId="0" applyFont="1" applyFill="1" applyBorder="1" applyAlignment="1">
      <alignment horizontal="center" vertical="center" wrapText="1"/>
    </xf>
    <xf numFmtId="0" fontId="14" fillId="17" borderId="23" xfId="0" applyFont="1" applyFill="1" applyBorder="1" applyAlignment="1">
      <alignment horizontal="center" vertical="center" wrapText="1"/>
    </xf>
    <xf numFmtId="0" fontId="14" fillId="17" borderId="24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 wrapText="1"/>
    </xf>
    <xf numFmtId="0" fontId="2" fillId="17" borderId="23" xfId="0" applyFont="1" applyFill="1" applyBorder="1" applyAlignment="1">
      <alignment horizontal="center" vertical="center" wrapText="1"/>
    </xf>
    <xf numFmtId="0" fontId="2" fillId="17" borderId="24" xfId="0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5" borderId="8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17" fillId="18" borderId="15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 wrapText="1"/>
    </xf>
    <xf numFmtId="0" fontId="17" fillId="18" borderId="10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17" fillId="18" borderId="23" xfId="0" applyFont="1" applyFill="1" applyBorder="1" applyAlignment="1">
      <alignment horizontal="center" vertical="center" wrapText="1"/>
    </xf>
    <xf numFmtId="0" fontId="17" fillId="18" borderId="24" xfId="0" applyFont="1" applyFill="1" applyBorder="1" applyAlignment="1">
      <alignment horizontal="center" vertical="center" wrapText="1"/>
    </xf>
    <xf numFmtId="0" fontId="14" fillId="16" borderId="23" xfId="0" applyFont="1" applyFill="1" applyBorder="1" applyAlignment="1">
      <alignment horizontal="center" vertical="center" wrapText="1"/>
    </xf>
    <xf numFmtId="0" fontId="14" fillId="16" borderId="24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164" fontId="3" fillId="6" borderId="8" xfId="0" applyNumberFormat="1" applyFont="1" applyFill="1" applyBorder="1" applyAlignment="1">
      <alignment horizontal="center" vertical="center" wrapText="1"/>
    </xf>
    <xf numFmtId="164" fontId="3" fillId="6" borderId="11" xfId="0" applyNumberFormat="1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0" fontId="14" fillId="15" borderId="23" xfId="0" applyFont="1" applyFill="1" applyBorder="1" applyAlignment="1">
      <alignment horizontal="center" vertical="center" wrapText="1"/>
    </xf>
    <xf numFmtId="0" fontId="14" fillId="15" borderId="24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5" borderId="7" xfId="0" applyFont="1" applyFill="1" applyBorder="1" applyAlignment="1">
      <alignment horizontal="center" vertical="center" wrapText="1"/>
    </xf>
    <xf numFmtId="0" fontId="10" fillId="19" borderId="8" xfId="0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wrapText="1"/>
    </xf>
    <xf numFmtId="0" fontId="10" fillId="19" borderId="12" xfId="0" applyFont="1" applyFill="1" applyBorder="1" applyAlignment="1">
      <alignment horizontal="center" vertical="center" wrapText="1"/>
    </xf>
    <xf numFmtId="46" fontId="16" fillId="16" borderId="3" xfId="0" applyNumberFormat="1" applyFont="1" applyFill="1" applyBorder="1" applyAlignment="1">
      <alignment horizontal="center" vertical="center" wrapText="1"/>
    </xf>
    <xf numFmtId="46" fontId="16" fillId="16" borderId="6" xfId="0" applyNumberFormat="1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2" fillId="15" borderId="23" xfId="0" applyFont="1" applyFill="1" applyBorder="1" applyAlignment="1">
      <alignment horizontal="center" vertical="center" wrapText="1"/>
    </xf>
    <xf numFmtId="0" fontId="2" fillId="15" borderId="24" xfId="0" applyFont="1" applyFill="1" applyBorder="1" applyAlignment="1">
      <alignment horizontal="center" vertical="center" wrapText="1"/>
    </xf>
    <xf numFmtId="0" fontId="2" fillId="16" borderId="23" xfId="0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2" fillId="14" borderId="8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 wrapText="1"/>
    </xf>
    <xf numFmtId="0" fontId="22" fillId="14" borderId="7" xfId="0" applyFont="1" applyFill="1" applyBorder="1" applyAlignment="1">
      <alignment horizontal="center" vertical="center" wrapText="1"/>
    </xf>
    <xf numFmtId="0" fontId="22" fillId="13" borderId="8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2" fillId="13" borderId="9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center" vertical="center" wrapText="1"/>
    </xf>
    <xf numFmtId="0" fontId="22" fillId="13" borderId="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horizontal="center" vertical="center" wrapText="1"/>
    </xf>
    <xf numFmtId="0" fontId="16" fillId="16" borderId="6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9" xfId="0" applyFont="1" applyFill="1" applyBorder="1" applyAlignment="1">
      <alignment horizontal="right" vertical="center" wrapText="1"/>
    </xf>
    <xf numFmtId="45" fontId="15" fillId="15" borderId="8" xfId="0" applyNumberFormat="1" applyFont="1" applyFill="1" applyBorder="1" applyAlignment="1">
      <alignment horizontal="center" vertical="center" wrapText="1"/>
    </xf>
    <xf numFmtId="45" fontId="15" fillId="15" borderId="3" xfId="0" applyNumberFormat="1" applyFont="1" applyFill="1" applyBorder="1" applyAlignment="1">
      <alignment horizontal="center" vertical="center" wrapText="1"/>
    </xf>
    <xf numFmtId="45" fontId="15" fillId="15" borderId="9" xfId="0" applyNumberFormat="1" applyFont="1" applyFill="1" applyBorder="1" applyAlignment="1">
      <alignment horizontal="center" vertical="center" wrapText="1"/>
    </xf>
    <xf numFmtId="45" fontId="15" fillId="15" borderId="6" xfId="0" applyNumberFormat="1" applyFont="1" applyFill="1" applyBorder="1" applyAlignment="1">
      <alignment horizontal="center" vertical="center" wrapText="1"/>
    </xf>
    <xf numFmtId="45" fontId="15" fillId="16" borderId="3" xfId="0" applyNumberFormat="1" applyFont="1" applyFill="1" applyBorder="1" applyAlignment="1">
      <alignment horizontal="center" vertical="center" wrapText="1"/>
    </xf>
    <xf numFmtId="45" fontId="15" fillId="16" borderId="6" xfId="0" applyNumberFormat="1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right" vertical="center" wrapText="1"/>
    </xf>
    <xf numFmtId="0" fontId="12" fillId="5" borderId="8" xfId="0" applyFont="1" applyFill="1" applyBorder="1" applyAlignment="1">
      <alignment horizontal="right" vertical="center" wrapText="1"/>
    </xf>
    <xf numFmtId="46" fontId="16" fillId="15" borderId="4" xfId="0" applyNumberFormat="1" applyFont="1" applyFill="1" applyBorder="1" applyAlignment="1">
      <alignment horizontal="center" vertical="center" wrapText="1"/>
    </xf>
    <xf numFmtId="46" fontId="16" fillId="15" borderId="7" xfId="0" applyNumberFormat="1" applyFont="1" applyFill="1" applyBorder="1" applyAlignment="1">
      <alignment horizontal="center" vertical="center" wrapText="1"/>
    </xf>
    <xf numFmtId="45" fontId="15" fillId="17" borderId="8" xfId="0" applyNumberFormat="1" applyFont="1" applyFill="1" applyBorder="1" applyAlignment="1">
      <alignment horizontal="center" vertical="center" wrapText="1"/>
    </xf>
    <xf numFmtId="45" fontId="15" fillId="17" borderId="3" xfId="0" applyNumberFormat="1" applyFont="1" applyFill="1" applyBorder="1" applyAlignment="1">
      <alignment horizontal="center" vertical="center" wrapText="1"/>
    </xf>
    <xf numFmtId="45" fontId="15" fillId="17" borderId="9" xfId="0" applyNumberFormat="1" applyFont="1" applyFill="1" applyBorder="1" applyAlignment="1">
      <alignment horizontal="center" vertical="center" wrapText="1"/>
    </xf>
    <xf numFmtId="45" fontId="15" fillId="17" borderId="6" xfId="0" applyNumberFormat="1" applyFont="1" applyFill="1" applyBorder="1" applyAlignment="1">
      <alignment horizontal="center" vertical="center" wrapText="1"/>
    </xf>
    <xf numFmtId="46" fontId="16" fillId="17" borderId="4" xfId="0" applyNumberFormat="1" applyFont="1" applyFill="1" applyBorder="1" applyAlignment="1">
      <alignment horizontal="center" vertical="center" wrapText="1"/>
    </xf>
    <xf numFmtId="46" fontId="16" fillId="17" borderId="7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2" fillId="21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3</xdr:row>
      <xdr:rowOff>1</xdr:rowOff>
    </xdr:from>
    <xdr:to>
      <xdr:col>3</xdr:col>
      <xdr:colOff>552883</xdr:colOff>
      <xdr:row>15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225214-208A-4A3C-8133-B43FD75FF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2269" b="15338"/>
        <a:stretch/>
      </xdr:blipFill>
      <xdr:spPr>
        <a:xfrm rot="5400000">
          <a:off x="-447458" y="1104683"/>
          <a:ext cx="2333624" cy="1305359"/>
        </a:xfrm>
        <a:prstGeom prst="rect">
          <a:avLst/>
        </a:prstGeom>
      </xdr:spPr>
    </xdr:pic>
    <xdr:clientData/>
  </xdr:twoCellAnchor>
  <xdr:oneCellAnchor>
    <xdr:from>
      <xdr:col>16</xdr:col>
      <xdr:colOff>47624</xdr:colOff>
      <xdr:row>3</xdr:row>
      <xdr:rowOff>1</xdr:rowOff>
    </xdr:from>
    <xdr:ext cx="1305359" cy="2333624"/>
    <xdr:pic>
      <xdr:nvPicPr>
        <xdr:cNvPr id="5" name="Imagen 4">
          <a:extLst>
            <a:ext uri="{FF2B5EF4-FFF2-40B4-BE49-F238E27FC236}">
              <a16:creationId xmlns:a16="http://schemas.microsoft.com/office/drawing/2014/main" id="{6C9046A0-1B28-4126-B7F1-B33E70793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2269" b="15338"/>
        <a:stretch/>
      </xdr:blipFill>
      <xdr:spPr>
        <a:xfrm rot="5400000">
          <a:off x="-447458" y="1104683"/>
          <a:ext cx="2333624" cy="13053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3"/>
  <sheetViews>
    <sheetView showGridLines="0" tabSelected="1" zoomScale="70" zoomScaleNormal="70" workbookViewId="0">
      <selection activeCell="Y1" sqref="Y1:AJ1048576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9.140625" customWidth="1"/>
    <col min="15" max="15" width="5.7109375" customWidth="1"/>
    <col min="16" max="16" width="3" customWidth="1"/>
    <col min="17" max="17" width="6.7109375" customWidth="1"/>
    <col min="18" max="18" width="5.28515625" customWidth="1"/>
    <col min="19" max="19" width="8.7109375" customWidth="1"/>
    <col min="20" max="20" width="8.140625" customWidth="1"/>
    <col min="21" max="21" width="9.28515625" customWidth="1"/>
    <col min="22" max="22" width="10.7109375" customWidth="1"/>
    <col min="23" max="23" width="8.7109375" customWidth="1"/>
    <col min="24" max="24" width="5.7109375" customWidth="1"/>
  </cols>
  <sheetData>
    <row r="1" spans="1:24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  <c r="Q1" s="1"/>
      <c r="R1" s="1"/>
      <c r="S1" s="1"/>
      <c r="T1" s="1"/>
      <c r="U1" s="1"/>
      <c r="V1" s="1"/>
      <c r="W1" s="1"/>
      <c r="X1" s="1"/>
    </row>
    <row r="2" spans="1:24" ht="15.95" customHeight="1" x14ac:dyDescent="0.25">
      <c r="B2" s="52" t="s">
        <v>1</v>
      </c>
      <c r="C2" s="53"/>
      <c r="D2" s="53"/>
      <c r="E2" s="122" t="s">
        <v>2</v>
      </c>
      <c r="F2" s="123"/>
      <c r="G2" s="123"/>
      <c r="H2" s="123"/>
      <c r="I2" s="123"/>
      <c r="J2" s="123"/>
      <c r="K2" s="123"/>
      <c r="L2" s="123"/>
      <c r="M2" s="123"/>
      <c r="N2" s="123"/>
      <c r="O2" s="124"/>
      <c r="Q2" s="52" t="s">
        <v>1</v>
      </c>
      <c r="R2" s="53"/>
      <c r="S2" s="53"/>
      <c r="T2" s="122" t="s">
        <v>2</v>
      </c>
      <c r="U2" s="123"/>
      <c r="V2" s="123"/>
      <c r="W2" s="123"/>
      <c r="X2" s="124"/>
    </row>
    <row r="3" spans="1:24" ht="15.95" customHeight="1" thickBot="1" x14ac:dyDescent="0.3">
      <c r="B3" s="54"/>
      <c r="C3" s="55"/>
      <c r="D3" s="55"/>
      <c r="E3" s="125"/>
      <c r="F3" s="126"/>
      <c r="G3" s="126"/>
      <c r="H3" s="126"/>
      <c r="I3" s="126"/>
      <c r="J3" s="126"/>
      <c r="K3" s="126"/>
      <c r="L3" s="126"/>
      <c r="M3" s="126"/>
      <c r="N3" s="126"/>
      <c r="O3" s="127"/>
      <c r="Q3" s="54"/>
      <c r="R3" s="55"/>
      <c r="S3" s="55"/>
      <c r="T3" s="125"/>
      <c r="U3" s="126"/>
      <c r="V3" s="126"/>
      <c r="W3" s="126"/>
      <c r="X3" s="127"/>
    </row>
    <row r="4" spans="1:24" ht="12.95" customHeight="1" x14ac:dyDescent="0.25">
      <c r="B4" s="23"/>
      <c r="C4" s="24"/>
      <c r="D4" s="24"/>
      <c r="E4" s="140" t="s">
        <v>33</v>
      </c>
      <c r="F4" s="141"/>
      <c r="G4" s="141"/>
      <c r="H4" s="141"/>
      <c r="I4" s="141"/>
      <c r="J4" s="141"/>
      <c r="K4" s="141"/>
      <c r="L4" s="141"/>
      <c r="M4" s="141"/>
      <c r="N4" s="141"/>
      <c r="O4" s="142"/>
      <c r="Q4" s="23"/>
      <c r="R4" s="24"/>
      <c r="S4" s="24"/>
      <c r="T4" s="199" t="s">
        <v>42</v>
      </c>
      <c r="U4" s="200"/>
      <c r="V4" s="200"/>
      <c r="W4" s="200"/>
      <c r="X4" s="205"/>
    </row>
    <row r="5" spans="1:24" ht="12.95" customHeight="1" x14ac:dyDescent="0.25">
      <c r="B5" s="23"/>
      <c r="C5" s="24"/>
      <c r="D5" s="24"/>
      <c r="E5" s="140"/>
      <c r="F5" s="141"/>
      <c r="G5" s="141"/>
      <c r="H5" s="141"/>
      <c r="I5" s="141"/>
      <c r="J5" s="141"/>
      <c r="K5" s="141"/>
      <c r="L5" s="141"/>
      <c r="M5" s="141"/>
      <c r="N5" s="141"/>
      <c r="O5" s="142"/>
      <c r="Q5" s="23"/>
      <c r="R5" s="24"/>
      <c r="S5" s="24"/>
      <c r="T5" s="201"/>
      <c r="U5" s="202"/>
      <c r="V5" s="202"/>
      <c r="W5" s="202"/>
      <c r="X5" s="206"/>
    </row>
    <row r="6" spans="1:24" ht="20.25" customHeight="1" x14ac:dyDescent="0.25">
      <c r="B6" s="23"/>
      <c r="C6" s="24"/>
      <c r="D6" s="24"/>
      <c r="E6" s="140"/>
      <c r="F6" s="141"/>
      <c r="G6" s="141"/>
      <c r="H6" s="141"/>
      <c r="I6" s="141"/>
      <c r="J6" s="141"/>
      <c r="K6" s="141"/>
      <c r="L6" s="141"/>
      <c r="M6" s="141"/>
      <c r="N6" s="141"/>
      <c r="O6" s="142"/>
      <c r="Q6" s="23"/>
      <c r="R6" s="24"/>
      <c r="S6" s="24"/>
      <c r="T6" s="201"/>
      <c r="U6" s="202"/>
      <c r="V6" s="202"/>
      <c r="W6" s="202"/>
      <c r="X6" s="206"/>
    </row>
    <row r="7" spans="1:24" ht="4.5" customHeight="1" thickBot="1" x14ac:dyDescent="0.3">
      <c r="B7" s="23"/>
      <c r="C7" s="24"/>
      <c r="D7" s="24"/>
      <c r="E7" s="143"/>
      <c r="F7" s="144"/>
      <c r="G7" s="144"/>
      <c r="H7" s="144"/>
      <c r="I7" s="144"/>
      <c r="J7" s="144"/>
      <c r="K7" s="144"/>
      <c r="L7" s="144"/>
      <c r="M7" s="144"/>
      <c r="N7" s="144"/>
      <c r="O7" s="145"/>
      <c r="Q7" s="23"/>
      <c r="R7" s="24"/>
      <c r="S7" s="24"/>
      <c r="T7" s="203"/>
      <c r="U7" s="204"/>
      <c r="V7" s="204"/>
      <c r="W7" s="204"/>
      <c r="X7" s="207"/>
    </row>
    <row r="8" spans="1:24" ht="15.95" customHeight="1" thickBot="1" x14ac:dyDescent="0.3">
      <c r="B8" s="23"/>
      <c r="C8" s="24"/>
      <c r="D8" s="24"/>
      <c r="E8" s="172" t="s">
        <v>4</v>
      </c>
      <c r="F8" s="173"/>
      <c r="G8" s="150" t="s">
        <v>18</v>
      </c>
      <c r="H8" s="151"/>
      <c r="I8" s="152"/>
      <c r="J8" s="134" t="s">
        <v>13</v>
      </c>
      <c r="K8" s="135"/>
      <c r="L8" s="136"/>
      <c r="M8" s="128" t="s">
        <v>19</v>
      </c>
      <c r="N8" s="129"/>
      <c r="O8" s="130"/>
      <c r="Q8" s="23"/>
      <c r="R8" s="24"/>
      <c r="S8" s="24"/>
      <c r="T8" s="172" t="s">
        <v>4</v>
      </c>
      <c r="U8" s="173"/>
      <c r="V8" s="150" t="s">
        <v>40</v>
      </c>
      <c r="W8" s="151"/>
      <c r="X8" s="152"/>
    </row>
    <row r="9" spans="1:24" ht="15.95" customHeight="1" thickBot="1" x14ac:dyDescent="0.3">
      <c r="B9" s="23"/>
      <c r="C9" s="24"/>
      <c r="D9" s="24"/>
      <c r="E9" s="172"/>
      <c r="F9" s="173"/>
      <c r="G9" s="153"/>
      <c r="H9" s="154"/>
      <c r="I9" s="155"/>
      <c r="J9" s="137"/>
      <c r="K9" s="138"/>
      <c r="L9" s="139"/>
      <c r="M9" s="131"/>
      <c r="N9" s="132"/>
      <c r="O9" s="133"/>
      <c r="Q9" s="23"/>
      <c r="R9" s="24"/>
      <c r="S9" s="24"/>
      <c r="T9" s="172"/>
      <c r="U9" s="173"/>
      <c r="V9" s="153"/>
      <c r="W9" s="154"/>
      <c r="X9" s="155"/>
    </row>
    <row r="10" spans="1:24" ht="15.95" customHeight="1" thickBot="1" x14ac:dyDescent="0.3">
      <c r="B10" s="23"/>
      <c r="C10" s="24"/>
      <c r="D10" s="24"/>
      <c r="E10" s="172" t="s">
        <v>3</v>
      </c>
      <c r="F10" s="172"/>
      <c r="G10" s="164" t="s">
        <v>17</v>
      </c>
      <c r="H10" s="165"/>
      <c r="I10" s="165"/>
      <c r="J10" s="165"/>
      <c r="K10" s="165"/>
      <c r="L10" s="165"/>
      <c r="M10" s="165"/>
      <c r="N10" s="165"/>
      <c r="O10" s="166"/>
      <c r="Q10" s="23"/>
      <c r="R10" s="24"/>
      <c r="S10" s="24"/>
      <c r="T10" s="172" t="s">
        <v>3</v>
      </c>
      <c r="U10" s="172"/>
      <c r="V10" s="193" t="s">
        <v>17</v>
      </c>
      <c r="W10" s="194"/>
      <c r="X10" s="195"/>
    </row>
    <row r="11" spans="1:24" ht="15.95" customHeight="1" thickBot="1" x14ac:dyDescent="0.3">
      <c r="B11" s="23"/>
      <c r="C11" s="24"/>
      <c r="D11" s="24"/>
      <c r="E11" s="172"/>
      <c r="F11" s="172"/>
      <c r="G11" s="167"/>
      <c r="H11" s="168"/>
      <c r="I11" s="168"/>
      <c r="J11" s="168"/>
      <c r="K11" s="168"/>
      <c r="L11" s="168"/>
      <c r="M11" s="168"/>
      <c r="N11" s="168"/>
      <c r="O11" s="169"/>
      <c r="Q11" s="23"/>
      <c r="R11" s="24"/>
      <c r="S11" s="24"/>
      <c r="T11" s="172"/>
      <c r="U11" s="172"/>
      <c r="V11" s="196"/>
      <c r="W11" s="197"/>
      <c r="X11" s="198"/>
    </row>
    <row r="12" spans="1:24" ht="15.95" customHeight="1" thickBot="1" x14ac:dyDescent="0.3">
      <c r="B12" s="23"/>
      <c r="C12" s="24"/>
      <c r="D12" s="24"/>
      <c r="E12" s="172" t="s">
        <v>5</v>
      </c>
      <c r="F12" s="173"/>
      <c r="G12" s="156" t="s">
        <v>36</v>
      </c>
      <c r="H12" s="157"/>
      <c r="I12" s="158"/>
      <c r="J12" s="162" t="s">
        <v>35</v>
      </c>
      <c r="K12" s="162"/>
      <c r="L12" s="162"/>
      <c r="M12" s="98" t="s">
        <v>34</v>
      </c>
      <c r="N12" s="99"/>
      <c r="O12" s="100"/>
      <c r="Q12" s="23"/>
      <c r="R12" s="24"/>
      <c r="S12" s="24"/>
      <c r="T12" s="172" t="s">
        <v>5</v>
      </c>
      <c r="U12" s="173"/>
      <c r="V12" s="208" t="s">
        <v>41</v>
      </c>
      <c r="W12" s="209"/>
      <c r="X12" s="210"/>
    </row>
    <row r="13" spans="1:24" ht="15.95" customHeight="1" thickBot="1" x14ac:dyDescent="0.3">
      <c r="B13" s="23"/>
      <c r="C13" s="24"/>
      <c r="D13" s="24"/>
      <c r="E13" s="172"/>
      <c r="F13" s="173"/>
      <c r="G13" s="159"/>
      <c r="H13" s="160"/>
      <c r="I13" s="161"/>
      <c r="J13" s="163"/>
      <c r="K13" s="163"/>
      <c r="L13" s="163"/>
      <c r="M13" s="101"/>
      <c r="N13" s="102"/>
      <c r="O13" s="103"/>
      <c r="Q13" s="23"/>
      <c r="R13" s="24"/>
      <c r="S13" s="24"/>
      <c r="T13" s="172"/>
      <c r="U13" s="173"/>
      <c r="V13" s="211"/>
      <c r="W13" s="212"/>
      <c r="X13" s="213"/>
    </row>
    <row r="14" spans="1:24" ht="15.95" customHeight="1" thickBot="1" x14ac:dyDescent="0.3">
      <c r="B14" s="23"/>
      <c r="C14" s="24"/>
      <c r="D14" s="24"/>
      <c r="E14" s="172" t="s">
        <v>21</v>
      </c>
      <c r="F14" s="173"/>
      <c r="G14" s="156">
        <f>93*110%</f>
        <v>102.30000000000001</v>
      </c>
      <c r="H14" s="157"/>
      <c r="I14" s="170" t="s">
        <v>6</v>
      </c>
      <c r="J14" s="162">
        <f>105*110%</f>
        <v>115.50000000000001</v>
      </c>
      <c r="K14" s="162"/>
      <c r="L14" s="148" t="s">
        <v>6</v>
      </c>
      <c r="M14" s="98">
        <f>124*110%</f>
        <v>136.4</v>
      </c>
      <c r="N14" s="99"/>
      <c r="O14" s="146" t="s">
        <v>6</v>
      </c>
      <c r="Q14" s="23"/>
      <c r="R14" s="24"/>
      <c r="S14" s="24"/>
      <c r="T14" s="172" t="s">
        <v>21</v>
      </c>
      <c r="U14" s="173"/>
      <c r="V14" s="156"/>
      <c r="W14" s="157"/>
      <c r="X14" s="170" t="s">
        <v>6</v>
      </c>
    </row>
    <row r="15" spans="1:24" ht="15.95" customHeight="1" thickBot="1" x14ac:dyDescent="0.3">
      <c r="B15" s="23"/>
      <c r="C15" s="24"/>
      <c r="D15" s="24"/>
      <c r="E15" s="172"/>
      <c r="F15" s="173"/>
      <c r="G15" s="159"/>
      <c r="H15" s="160"/>
      <c r="I15" s="171"/>
      <c r="J15" s="163"/>
      <c r="K15" s="163"/>
      <c r="L15" s="149"/>
      <c r="M15" s="101"/>
      <c r="N15" s="102"/>
      <c r="O15" s="147"/>
      <c r="Q15" s="23"/>
      <c r="R15" s="24"/>
      <c r="S15" s="24"/>
      <c r="T15" s="172"/>
      <c r="U15" s="173"/>
      <c r="V15" s="159"/>
      <c r="W15" s="160"/>
      <c r="X15" s="171"/>
    </row>
    <row r="16" spans="1:24" ht="15.95" customHeight="1" thickBot="1" x14ac:dyDescent="0.3">
      <c r="B16" s="23"/>
      <c r="C16" s="24"/>
      <c r="D16" s="24"/>
      <c r="E16" s="172" t="s">
        <v>7</v>
      </c>
      <c r="F16" s="173"/>
      <c r="G16" s="174">
        <v>2.8703703703703703E-3</v>
      </c>
      <c r="H16" s="175"/>
      <c r="I16" s="182" t="s">
        <v>8</v>
      </c>
      <c r="J16" s="178">
        <v>3.1597222222222222E-3</v>
      </c>
      <c r="K16" s="178"/>
      <c r="L16" s="96" t="s">
        <v>8</v>
      </c>
      <c r="M16" s="184">
        <v>2.650462962962963E-3</v>
      </c>
      <c r="N16" s="185"/>
      <c r="O16" s="188" t="s">
        <v>8</v>
      </c>
      <c r="Q16" s="23"/>
      <c r="R16" s="24"/>
      <c r="S16" s="24"/>
      <c r="T16" s="172" t="s">
        <v>7</v>
      </c>
      <c r="U16" s="173"/>
      <c r="V16" s="156"/>
      <c r="W16" s="157"/>
      <c r="X16" s="170" t="s">
        <v>8</v>
      </c>
    </row>
    <row r="17" spans="2:24" ht="15.95" customHeight="1" thickBot="1" x14ac:dyDescent="0.3">
      <c r="B17" s="25"/>
      <c r="C17" s="26"/>
      <c r="D17" s="26"/>
      <c r="E17" s="180"/>
      <c r="F17" s="181"/>
      <c r="G17" s="176"/>
      <c r="H17" s="177"/>
      <c r="I17" s="183"/>
      <c r="J17" s="179"/>
      <c r="K17" s="179"/>
      <c r="L17" s="97"/>
      <c r="M17" s="186"/>
      <c r="N17" s="187"/>
      <c r="O17" s="189"/>
      <c r="Q17" s="25"/>
      <c r="R17" s="26"/>
      <c r="S17" s="26"/>
      <c r="T17" s="180"/>
      <c r="U17" s="181"/>
      <c r="V17" s="159"/>
      <c r="W17" s="160"/>
      <c r="X17" s="171"/>
    </row>
    <row r="18" spans="2:24" ht="15.95" customHeight="1" x14ac:dyDescent="0.25">
      <c r="B18" s="104" t="s">
        <v>15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6"/>
      <c r="Q18" s="104" t="s">
        <v>15</v>
      </c>
      <c r="R18" s="105"/>
      <c r="S18" s="105"/>
      <c r="T18" s="105"/>
      <c r="U18" s="105"/>
      <c r="V18" s="105"/>
      <c r="W18" s="105"/>
      <c r="X18" s="106"/>
    </row>
    <row r="19" spans="2:24" ht="15.95" customHeight="1" thickBot="1" x14ac:dyDescent="0.3"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9"/>
      <c r="Q19" s="107"/>
      <c r="R19" s="108"/>
      <c r="S19" s="108"/>
      <c r="T19" s="108"/>
      <c r="U19" s="108"/>
      <c r="V19" s="108"/>
      <c r="W19" s="108"/>
      <c r="X19" s="109"/>
    </row>
    <row r="20" spans="2:24" ht="15.95" customHeight="1" x14ac:dyDescent="0.25">
      <c r="B20" s="64" t="s">
        <v>26</v>
      </c>
      <c r="C20" s="65"/>
      <c r="D20" s="65"/>
      <c r="E20" s="65"/>
      <c r="F20" s="65"/>
      <c r="G20" s="110" t="s">
        <v>37</v>
      </c>
      <c r="H20" s="111"/>
      <c r="I20" s="112"/>
      <c r="J20" s="68" t="s">
        <v>27</v>
      </c>
      <c r="K20" s="69"/>
      <c r="L20" s="70"/>
      <c r="M20" s="41" t="s">
        <v>38</v>
      </c>
      <c r="N20" s="42"/>
      <c r="O20" s="43"/>
      <c r="Q20" s="64" t="s">
        <v>26</v>
      </c>
      <c r="R20" s="65"/>
      <c r="S20" s="65"/>
      <c r="T20" s="65"/>
      <c r="U20" s="65"/>
      <c r="V20" s="110" t="s">
        <v>43</v>
      </c>
      <c r="W20" s="111"/>
      <c r="X20" s="112"/>
    </row>
    <row r="21" spans="2:24" ht="29.25" customHeight="1" thickBot="1" x14ac:dyDescent="0.3">
      <c r="B21" s="66"/>
      <c r="C21" s="67"/>
      <c r="D21" s="67"/>
      <c r="E21" s="67"/>
      <c r="F21" s="67"/>
      <c r="G21" s="113"/>
      <c r="H21" s="114"/>
      <c r="I21" s="115"/>
      <c r="J21" s="71"/>
      <c r="K21" s="72"/>
      <c r="L21" s="73"/>
      <c r="M21" s="44"/>
      <c r="N21" s="45"/>
      <c r="O21" s="46"/>
      <c r="Q21" s="66"/>
      <c r="R21" s="67"/>
      <c r="S21" s="67"/>
      <c r="T21" s="67"/>
      <c r="U21" s="67"/>
      <c r="V21" s="113"/>
      <c r="W21" s="114"/>
      <c r="X21" s="115"/>
    </row>
    <row r="22" spans="2:24" ht="15.95" customHeight="1" x14ac:dyDescent="0.25">
      <c r="B22" s="78" t="s">
        <v>12</v>
      </c>
      <c r="C22" s="79"/>
      <c r="D22" s="120" t="s">
        <v>9</v>
      </c>
      <c r="E22" s="120"/>
      <c r="F22" s="120"/>
      <c r="G22" s="116" t="s">
        <v>24</v>
      </c>
      <c r="H22" s="88" t="s">
        <v>25</v>
      </c>
      <c r="I22" s="89"/>
      <c r="J22" s="118" t="s">
        <v>24</v>
      </c>
      <c r="K22" s="47" t="s">
        <v>25</v>
      </c>
      <c r="L22" s="48"/>
      <c r="M22" s="39" t="s">
        <v>24</v>
      </c>
      <c r="N22" s="35" t="s">
        <v>25</v>
      </c>
      <c r="O22" s="36"/>
      <c r="Q22" s="78" t="s">
        <v>12</v>
      </c>
      <c r="R22" s="79"/>
      <c r="S22" s="120" t="s">
        <v>9</v>
      </c>
      <c r="T22" s="120"/>
      <c r="U22" s="120"/>
      <c r="V22" s="116" t="s">
        <v>24</v>
      </c>
      <c r="W22" s="88" t="s">
        <v>25</v>
      </c>
      <c r="X22" s="89"/>
    </row>
    <row r="23" spans="2:24" ht="15.75" customHeight="1" thickBot="1" x14ac:dyDescent="0.3">
      <c r="B23" s="80"/>
      <c r="C23" s="81"/>
      <c r="D23" s="121"/>
      <c r="E23" s="121"/>
      <c r="F23" s="121"/>
      <c r="G23" s="117"/>
      <c r="H23" s="90"/>
      <c r="I23" s="91"/>
      <c r="J23" s="119"/>
      <c r="K23" s="49"/>
      <c r="L23" s="50"/>
      <c r="M23" s="40"/>
      <c r="N23" s="37"/>
      <c r="O23" s="38"/>
      <c r="Q23" s="80"/>
      <c r="R23" s="81"/>
      <c r="S23" s="121"/>
      <c r="T23" s="121"/>
      <c r="U23" s="121"/>
      <c r="V23" s="117"/>
      <c r="W23" s="90"/>
      <c r="X23" s="91"/>
    </row>
    <row r="24" spans="2:24" ht="15.95" customHeight="1" x14ac:dyDescent="0.25">
      <c r="B24" s="82">
        <v>0.53</v>
      </c>
      <c r="C24" s="83"/>
      <c r="D24" s="56" t="s">
        <v>32</v>
      </c>
      <c r="E24" s="57"/>
      <c r="F24" s="57"/>
      <c r="G24" s="86" t="s">
        <v>30</v>
      </c>
      <c r="H24" s="88" t="s">
        <v>10</v>
      </c>
      <c r="I24" s="89"/>
      <c r="J24" s="76" t="s">
        <v>30</v>
      </c>
      <c r="K24" s="47" t="s">
        <v>10</v>
      </c>
      <c r="L24" s="48"/>
      <c r="M24" s="33" t="s">
        <v>30</v>
      </c>
      <c r="N24" s="35" t="s">
        <v>10</v>
      </c>
      <c r="O24" s="36"/>
      <c r="Q24" s="82">
        <v>0.53</v>
      </c>
      <c r="R24" s="83"/>
      <c r="S24" s="56" t="s">
        <v>32</v>
      </c>
      <c r="T24" s="57"/>
      <c r="U24" s="57"/>
      <c r="V24" s="86" t="s">
        <v>30</v>
      </c>
      <c r="W24" s="88" t="s">
        <v>10</v>
      </c>
      <c r="X24" s="89"/>
    </row>
    <row r="25" spans="2:24" ht="15.95" customHeight="1" thickBot="1" x14ac:dyDescent="0.3">
      <c r="B25" s="84"/>
      <c r="C25" s="85"/>
      <c r="D25" s="58" t="s">
        <v>16</v>
      </c>
      <c r="E25" s="59"/>
      <c r="F25" s="59"/>
      <c r="G25" s="87"/>
      <c r="H25" s="90"/>
      <c r="I25" s="91"/>
      <c r="J25" s="77"/>
      <c r="K25" s="49"/>
      <c r="L25" s="50"/>
      <c r="M25" s="34"/>
      <c r="N25" s="37"/>
      <c r="O25" s="38"/>
      <c r="Q25" s="84"/>
      <c r="R25" s="85"/>
      <c r="S25" s="58" t="s">
        <v>16</v>
      </c>
      <c r="T25" s="59"/>
      <c r="U25" s="59"/>
      <c r="V25" s="87"/>
      <c r="W25" s="90"/>
      <c r="X25" s="91"/>
    </row>
    <row r="26" spans="2:24" ht="15.95" customHeight="1" x14ac:dyDescent="0.25">
      <c r="B26" s="82">
        <v>0.47</v>
      </c>
      <c r="C26" s="83"/>
      <c r="D26" s="56" t="s">
        <v>11</v>
      </c>
      <c r="E26" s="57"/>
      <c r="F26" s="57"/>
      <c r="G26" s="86" t="s">
        <v>29</v>
      </c>
      <c r="H26" s="88" t="s">
        <v>10</v>
      </c>
      <c r="I26" s="89"/>
      <c r="J26" s="76" t="s">
        <v>29</v>
      </c>
      <c r="K26" s="47" t="s">
        <v>10</v>
      </c>
      <c r="L26" s="48"/>
      <c r="M26" s="33" t="s">
        <v>31</v>
      </c>
      <c r="N26" s="35" t="s">
        <v>10</v>
      </c>
      <c r="O26" s="36"/>
      <c r="Q26" s="82">
        <v>0.47</v>
      </c>
      <c r="R26" s="83"/>
      <c r="S26" s="56" t="s">
        <v>11</v>
      </c>
      <c r="T26" s="57"/>
      <c r="U26" s="57"/>
      <c r="V26" s="86" t="s">
        <v>31</v>
      </c>
      <c r="W26" s="88" t="s">
        <v>10</v>
      </c>
      <c r="X26" s="89"/>
    </row>
    <row r="27" spans="2:24" ht="15.95" customHeight="1" thickBot="1" x14ac:dyDescent="0.3">
      <c r="B27" s="84"/>
      <c r="C27" s="85"/>
      <c r="D27" s="58" t="s">
        <v>14</v>
      </c>
      <c r="E27" s="59"/>
      <c r="F27" s="59"/>
      <c r="G27" s="87"/>
      <c r="H27" s="90"/>
      <c r="I27" s="91"/>
      <c r="J27" s="77"/>
      <c r="K27" s="49"/>
      <c r="L27" s="50"/>
      <c r="M27" s="34"/>
      <c r="N27" s="37"/>
      <c r="O27" s="38"/>
      <c r="Q27" s="84"/>
      <c r="R27" s="85"/>
      <c r="S27" s="58" t="s">
        <v>14</v>
      </c>
      <c r="T27" s="59"/>
      <c r="U27" s="59"/>
      <c r="V27" s="87"/>
      <c r="W27" s="90"/>
      <c r="X27" s="91"/>
    </row>
    <row r="28" spans="2:24" ht="15.75" customHeight="1" x14ac:dyDescent="0.25">
      <c r="B28" s="82"/>
      <c r="C28" s="83"/>
      <c r="D28" s="56"/>
      <c r="E28" s="57"/>
      <c r="F28" s="57"/>
      <c r="G28" s="86"/>
      <c r="H28" s="88"/>
      <c r="I28" s="89"/>
      <c r="J28" s="76"/>
      <c r="K28" s="47"/>
      <c r="L28" s="48"/>
      <c r="M28" s="33"/>
      <c r="N28" s="35"/>
      <c r="O28" s="36"/>
      <c r="Q28" s="82"/>
      <c r="R28" s="83"/>
      <c r="S28" s="56"/>
      <c r="T28" s="57"/>
      <c r="U28" s="57"/>
      <c r="V28" s="86"/>
      <c r="W28" s="88"/>
      <c r="X28" s="89"/>
    </row>
    <row r="29" spans="2:24" ht="15.75" customHeight="1" thickBot="1" x14ac:dyDescent="0.3">
      <c r="B29" s="84"/>
      <c r="C29" s="85"/>
      <c r="D29" s="58"/>
      <c r="E29" s="59"/>
      <c r="F29" s="59"/>
      <c r="G29" s="87"/>
      <c r="H29" s="90"/>
      <c r="I29" s="91"/>
      <c r="J29" s="77"/>
      <c r="K29" s="49"/>
      <c r="L29" s="50"/>
      <c r="M29" s="34"/>
      <c r="N29" s="37"/>
      <c r="O29" s="38"/>
      <c r="Q29" s="84"/>
      <c r="R29" s="85"/>
      <c r="S29" s="58"/>
      <c r="T29" s="59"/>
      <c r="U29" s="59"/>
      <c r="V29" s="87"/>
      <c r="W29" s="90"/>
      <c r="X29" s="91"/>
    </row>
    <row r="30" spans="2:24" ht="15.75" customHeight="1" x14ac:dyDescent="0.25">
      <c r="B30" s="92" t="s">
        <v>22</v>
      </c>
      <c r="C30" s="93"/>
      <c r="D30" s="60" t="s">
        <v>23</v>
      </c>
      <c r="E30" s="61"/>
      <c r="F30" s="61"/>
      <c r="G30" s="27" t="s">
        <v>28</v>
      </c>
      <c r="H30" s="28"/>
      <c r="I30" s="29"/>
      <c r="J30" s="27" t="s">
        <v>28</v>
      </c>
      <c r="K30" s="28"/>
      <c r="L30" s="29"/>
      <c r="M30" s="74" t="s">
        <v>39</v>
      </c>
      <c r="N30" s="28" t="s">
        <v>31</v>
      </c>
      <c r="O30" s="29"/>
      <c r="Q30" s="92" t="s">
        <v>22</v>
      </c>
      <c r="R30" s="93"/>
      <c r="S30" s="60" t="s">
        <v>23</v>
      </c>
      <c r="T30" s="61"/>
      <c r="U30" s="61"/>
      <c r="V30" s="74" t="s">
        <v>44</v>
      </c>
      <c r="W30" s="28" t="s">
        <v>31</v>
      </c>
      <c r="X30" s="29"/>
    </row>
    <row r="31" spans="2:24" ht="15.75" customHeight="1" thickBot="1" x14ac:dyDescent="0.3">
      <c r="B31" s="94"/>
      <c r="C31" s="95"/>
      <c r="D31" s="62"/>
      <c r="E31" s="63"/>
      <c r="F31" s="63"/>
      <c r="G31" s="30"/>
      <c r="H31" s="31"/>
      <c r="I31" s="32"/>
      <c r="J31" s="30"/>
      <c r="K31" s="31"/>
      <c r="L31" s="32"/>
      <c r="M31" s="75"/>
      <c r="N31" s="31"/>
      <c r="O31" s="32"/>
      <c r="Q31" s="94"/>
      <c r="R31" s="95"/>
      <c r="S31" s="62"/>
      <c r="T31" s="63"/>
      <c r="U31" s="63"/>
      <c r="V31" s="75"/>
      <c r="W31" s="31"/>
      <c r="X31" s="32"/>
    </row>
    <row r="32" spans="2:24" ht="15.75" customHeight="1" x14ac:dyDescent="0.25">
      <c r="M32" s="51"/>
      <c r="N32" s="51"/>
      <c r="O32" s="5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</sheetData>
  <mergeCells count="115">
    <mergeCell ref="V30:V31"/>
    <mergeCell ref="W30:X31"/>
    <mergeCell ref="Q30:R31"/>
    <mergeCell ref="S30:U31"/>
    <mergeCell ref="S27:U27"/>
    <mergeCell ref="Q28:R29"/>
    <mergeCell ref="S28:U28"/>
    <mergeCell ref="V28:V29"/>
    <mergeCell ref="W28:X29"/>
    <mergeCell ref="S29:U29"/>
    <mergeCell ref="Q26:R27"/>
    <mergeCell ref="S26:U26"/>
    <mergeCell ref="V26:V27"/>
    <mergeCell ref="W26:X27"/>
    <mergeCell ref="Q24:R25"/>
    <mergeCell ref="S24:U24"/>
    <mergeCell ref="V24:V25"/>
    <mergeCell ref="W24:X25"/>
    <mergeCell ref="S25:U25"/>
    <mergeCell ref="Q22:R23"/>
    <mergeCell ref="S22:U23"/>
    <mergeCell ref="V22:V23"/>
    <mergeCell ref="W22:X23"/>
    <mergeCell ref="Q20:U21"/>
    <mergeCell ref="V20:X21"/>
    <mergeCell ref="Q18:X19"/>
    <mergeCell ref="T16:U17"/>
    <mergeCell ref="V16:W17"/>
    <mergeCell ref="X16:X17"/>
    <mergeCell ref="T14:U15"/>
    <mergeCell ref="V14:W15"/>
    <mergeCell ref="X14:X15"/>
    <mergeCell ref="T10:U11"/>
    <mergeCell ref="T12:U13"/>
    <mergeCell ref="V12:X13"/>
    <mergeCell ref="V10:X11"/>
    <mergeCell ref="Q2:S3"/>
    <mergeCell ref="T8:U9"/>
    <mergeCell ref="V8:X9"/>
    <mergeCell ref="T4:X7"/>
    <mergeCell ref="T2:X3"/>
    <mergeCell ref="M16:N17"/>
    <mergeCell ref="O16:O17"/>
    <mergeCell ref="D24:F24"/>
    <mergeCell ref="D25:F25"/>
    <mergeCell ref="G24:G25"/>
    <mergeCell ref="H24:I25"/>
    <mergeCell ref="J24:J25"/>
    <mergeCell ref="K24:L25"/>
    <mergeCell ref="M24:M25"/>
    <mergeCell ref="N24:O25"/>
    <mergeCell ref="E12:F13"/>
    <mergeCell ref="E14:F15"/>
    <mergeCell ref="G16:H17"/>
    <mergeCell ref="J16:K17"/>
    <mergeCell ref="E16:F17"/>
    <mergeCell ref="I16:I17"/>
    <mergeCell ref="E2:O3"/>
    <mergeCell ref="M8:O9"/>
    <mergeCell ref="J8:L9"/>
    <mergeCell ref="E4:O7"/>
    <mergeCell ref="O14:O15"/>
    <mergeCell ref="L14:L15"/>
    <mergeCell ref="G8:I9"/>
    <mergeCell ref="G12:I13"/>
    <mergeCell ref="J12:L13"/>
    <mergeCell ref="G14:H15"/>
    <mergeCell ref="J14:K15"/>
    <mergeCell ref="G10:O11"/>
    <mergeCell ref="I14:I15"/>
    <mergeCell ref="M14:N15"/>
    <mergeCell ref="E8:F9"/>
    <mergeCell ref="E10:F11"/>
    <mergeCell ref="B30:C31"/>
    <mergeCell ref="L16:L17"/>
    <mergeCell ref="M12:O13"/>
    <mergeCell ref="B18:O19"/>
    <mergeCell ref="G20:I21"/>
    <mergeCell ref="G30:I31"/>
    <mergeCell ref="G22:G23"/>
    <mergeCell ref="H22:I23"/>
    <mergeCell ref="D26:F26"/>
    <mergeCell ref="D27:F27"/>
    <mergeCell ref="G26:G27"/>
    <mergeCell ref="H26:I27"/>
    <mergeCell ref="J22:J23"/>
    <mergeCell ref="K22:L23"/>
    <mergeCell ref="K28:L29"/>
    <mergeCell ref="D22:F23"/>
    <mergeCell ref="B24:C25"/>
    <mergeCell ref="G28:G29"/>
    <mergeCell ref="H28:I29"/>
    <mergeCell ref="B26:C27"/>
    <mergeCell ref="B28:C29"/>
    <mergeCell ref="M20:O21"/>
    <mergeCell ref="K26:L27"/>
    <mergeCell ref="M32:O32"/>
    <mergeCell ref="B2:D3"/>
    <mergeCell ref="D28:F28"/>
    <mergeCell ref="D29:F29"/>
    <mergeCell ref="D30:F31"/>
    <mergeCell ref="B20:F21"/>
    <mergeCell ref="J20:L21"/>
    <mergeCell ref="M30:M31"/>
    <mergeCell ref="N30:O31"/>
    <mergeCell ref="M26:M27"/>
    <mergeCell ref="N26:O27"/>
    <mergeCell ref="J28:J29"/>
    <mergeCell ref="J26:J27"/>
    <mergeCell ref="B22:C23"/>
    <mergeCell ref="J30:L31"/>
    <mergeCell ref="M28:M29"/>
    <mergeCell ref="N28:O29"/>
    <mergeCell ref="M22:M23"/>
    <mergeCell ref="N22:O23"/>
  </mergeCells>
  <phoneticPr fontId="18" type="noConversion"/>
  <pageMargins left="0.22" right="0.27559055118110237" top="0.27559055118110237" bottom="0" header="0.15748031496062992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G12:I13 L12:L13 O12:O13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J12:K13 N12:N13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M12:M13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J16:K17 N16:N17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M16:M17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G16:H17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D15"/>
  <sheetViews>
    <sheetView workbookViewId="0">
      <selection activeCell="G8" sqref="G8"/>
    </sheetView>
  </sheetViews>
  <sheetFormatPr baseColWidth="10" defaultColWidth="11.42578125" defaultRowHeight="15" x14ac:dyDescent="0.25"/>
  <cols>
    <col min="2" max="4" width="30.7109375" customWidth="1"/>
  </cols>
  <sheetData>
    <row r="1" spans="2:4" ht="15.75" thickBot="1" x14ac:dyDescent="0.3"/>
    <row r="2" spans="2:4" ht="30" customHeight="1" thickBot="1" x14ac:dyDescent="0.3">
      <c r="B2" s="4" t="s">
        <v>18</v>
      </c>
      <c r="C2" s="3" t="s">
        <v>13</v>
      </c>
      <c r="D2" s="5" t="s">
        <v>19</v>
      </c>
    </row>
    <row r="3" spans="2:4" ht="30" customHeight="1" thickBot="1" x14ac:dyDescent="0.3">
      <c r="B3" s="190" t="s">
        <v>17</v>
      </c>
      <c r="C3" s="191"/>
      <c r="D3" s="192"/>
    </row>
    <row r="4" spans="2:4" ht="30" customHeight="1" thickBot="1" x14ac:dyDescent="0.3">
      <c r="B4" s="17" t="s">
        <v>36</v>
      </c>
      <c r="C4" s="19" t="s">
        <v>35</v>
      </c>
      <c r="D4" s="21" t="s">
        <v>34</v>
      </c>
    </row>
    <row r="5" spans="2:4" ht="30" customHeight="1" thickBot="1" x14ac:dyDescent="0.3">
      <c r="B5" s="6" t="s">
        <v>20</v>
      </c>
      <c r="C5" s="2" t="s">
        <v>20</v>
      </c>
      <c r="D5" s="7" t="s">
        <v>20</v>
      </c>
    </row>
    <row r="6" spans="2:4" ht="30" customHeight="1" thickBot="1" x14ac:dyDescent="0.3">
      <c r="B6" s="6" t="s">
        <v>20</v>
      </c>
      <c r="C6" s="2" t="s">
        <v>20</v>
      </c>
      <c r="D6" s="7" t="s">
        <v>20</v>
      </c>
    </row>
    <row r="7" spans="2:4" ht="30" customHeight="1" thickBot="1" x14ac:dyDescent="0.3">
      <c r="B7" s="6" t="s">
        <v>20</v>
      </c>
      <c r="C7" s="2" t="s">
        <v>20</v>
      </c>
      <c r="D7" s="7" t="s">
        <v>20</v>
      </c>
    </row>
    <row r="8" spans="2:4" ht="30" customHeight="1" thickBot="1" x14ac:dyDescent="0.3">
      <c r="B8" s="8" t="s">
        <v>20</v>
      </c>
      <c r="C8" s="9" t="s">
        <v>20</v>
      </c>
      <c r="D8" s="10" t="s">
        <v>20</v>
      </c>
    </row>
    <row r="9" spans="2:4" ht="30" customHeight="1" thickBot="1" x14ac:dyDescent="0.3">
      <c r="B9" s="4" t="s">
        <v>18</v>
      </c>
      <c r="C9" s="3" t="s">
        <v>13</v>
      </c>
      <c r="D9" s="5" t="s">
        <v>19</v>
      </c>
    </row>
    <row r="10" spans="2:4" ht="30" customHeight="1" thickBot="1" x14ac:dyDescent="0.3">
      <c r="B10" s="190" t="s">
        <v>17</v>
      </c>
      <c r="C10" s="191"/>
      <c r="D10" s="192"/>
    </row>
    <row r="11" spans="2:4" ht="30" customHeight="1" thickBot="1" x14ac:dyDescent="0.3">
      <c r="B11" s="18">
        <v>2.8703703703703703E-3</v>
      </c>
      <c r="C11" s="20">
        <v>3.1597222222222222E-3</v>
      </c>
      <c r="D11" s="22">
        <v>2.650462962962963E-3</v>
      </c>
    </row>
    <row r="12" spans="2:4" ht="30" customHeight="1" thickBot="1" x14ac:dyDescent="0.3">
      <c r="B12" s="12" t="s">
        <v>20</v>
      </c>
      <c r="C12" s="11" t="s">
        <v>20</v>
      </c>
      <c r="D12" s="13" t="s">
        <v>20</v>
      </c>
    </row>
    <row r="13" spans="2:4" ht="30" customHeight="1" thickBot="1" x14ac:dyDescent="0.3">
      <c r="B13" s="12" t="s">
        <v>20</v>
      </c>
      <c r="C13" s="11" t="s">
        <v>20</v>
      </c>
      <c r="D13" s="13" t="s">
        <v>20</v>
      </c>
    </row>
    <row r="14" spans="2:4" ht="30" customHeight="1" thickBot="1" x14ac:dyDescent="0.3">
      <c r="B14" s="12" t="s">
        <v>20</v>
      </c>
      <c r="C14" s="11" t="s">
        <v>20</v>
      </c>
      <c r="D14" s="13" t="s">
        <v>20</v>
      </c>
    </row>
    <row r="15" spans="2:4" ht="30" customHeight="1" thickBot="1" x14ac:dyDescent="0.3">
      <c r="B15" s="14" t="s">
        <v>20</v>
      </c>
      <c r="C15" s="15" t="s">
        <v>20</v>
      </c>
      <c r="D15" s="16" t="s">
        <v>20</v>
      </c>
    </row>
  </sheetData>
  <mergeCells count="2">
    <mergeCell ref="B3:D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2025-04-14T20:51:46Z</cp:lastPrinted>
  <dcterms:created xsi:type="dcterms:W3CDTF">2023-10-31T20:19:37Z</dcterms:created>
  <dcterms:modified xsi:type="dcterms:W3CDTF">2025-04-14T20:51:58Z</dcterms:modified>
  <dc:language>es-MX</dc:language>
</cp:coreProperties>
</file>