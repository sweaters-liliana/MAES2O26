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/>
  <mc:AlternateContent xmlns:mc="http://schemas.openxmlformats.org/markup-compatibility/2006">
    <mc:Choice Requires="x15">
      <x15ac:absPath xmlns:x15ac="http://schemas.microsoft.com/office/spreadsheetml/2010/11/ac" url="C:\Users\Admin\Desktop\CONTROL DISEÑO\VIVA ROUSS\QPTIMA 2025\DESAROLLOS 25\Q037 CROP TOP TEEN CON CINTAS EN LA SIZA Y CUELLO\"/>
    </mc:Choice>
  </mc:AlternateContent>
  <xr:revisionPtr revIDLastSave="0" documentId="13_ncr:1_{447EB19D-BA25-44C5-A048-6F963520381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FICHA TECNICA" sheetId="1" r:id="rId1"/>
    <sheet name="CONFECCION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4" i="2" l="1"/>
  <c r="F5" i="2"/>
  <c r="G14" i="1"/>
</calcChain>
</file>

<file path=xl/sharedStrings.xml><?xml version="1.0" encoding="utf-8"?>
<sst xmlns="http://schemas.openxmlformats.org/spreadsheetml/2006/main" count="80" uniqueCount="68">
  <si>
    <t xml:space="preserve"> </t>
  </si>
  <si>
    <t>FOTO MUESTRA</t>
  </si>
  <si>
    <t>DESCRIPCIÓN</t>
  </si>
  <si>
    <t>PIEZA:</t>
  </si>
  <si>
    <t>TALLA:</t>
  </si>
  <si>
    <t>CÓDIGOS:</t>
  </si>
  <si>
    <t>grs</t>
  </si>
  <si>
    <t>TIEMPO:</t>
  </si>
  <si>
    <t>min</t>
  </si>
  <si>
    <t>MATERIAL</t>
  </si>
  <si>
    <t>TODOS</t>
  </si>
  <si>
    <t>%</t>
  </si>
  <si>
    <t>70/68</t>
  </si>
  <si>
    <t>ENHEBRADO</t>
  </si>
  <si>
    <t>-</t>
  </si>
  <si>
    <t>SIS.</t>
  </si>
  <si>
    <t>TIPO DE MAQUINA</t>
  </si>
  <si>
    <r>
      <rPr>
        <b/>
        <sz val="11"/>
        <rFont val="Consolas"/>
        <family val="3"/>
      </rPr>
      <t>G</t>
    </r>
    <r>
      <rPr>
        <b/>
        <sz val="10"/>
        <rFont val="Consolas"/>
        <family val="3"/>
      </rPr>
      <t>.</t>
    </r>
    <r>
      <rPr>
        <b/>
        <sz val="14"/>
        <rFont val="Consolas"/>
        <family val="3"/>
      </rPr>
      <t>HILO</t>
    </r>
  </si>
  <si>
    <t>NYLON</t>
  </si>
  <si>
    <t>#2</t>
  </si>
  <si>
    <t>LICRA YUKI</t>
  </si>
  <si>
    <t>20/70/68</t>
  </si>
  <si>
    <t>PESO +10%:</t>
  </si>
  <si>
    <t>CROP TOP</t>
  </si>
  <si>
    <t>#5</t>
  </si>
  <si>
    <t>CIXING</t>
  </si>
  <si>
    <t>CROP TOP TEEN SIZADO CUELLO REDONDO</t>
  </si>
  <si>
    <t>LICRA DESNUDA</t>
  </si>
  <si>
    <t>#3</t>
  </si>
  <si>
    <t>2 Y 6</t>
  </si>
  <si>
    <t>Q037B31M</t>
  </si>
  <si>
    <t>Q037TUBO</t>
  </si>
  <si>
    <t>TUBO</t>
  </si>
  <si>
    <t>FICHA TECNICA</t>
  </si>
  <si>
    <t>DESARROLLO DE:      OPTIMA TEENS</t>
  </si>
  <si>
    <t>MODELO:</t>
  </si>
  <si>
    <t>Q037</t>
  </si>
  <si>
    <t xml:space="preserve">DESCRIPCION:     </t>
  </si>
  <si>
    <t>CROP TOP SISADO</t>
  </si>
  <si>
    <t>CORTE:</t>
  </si>
  <si>
    <t>SISAS,CUELLO FRENTE Y ESPALDA</t>
  </si>
  <si>
    <t>COLLARETA:</t>
  </si>
  <si>
    <t>RECTA:</t>
  </si>
  <si>
    <t>TIRANTE</t>
  </si>
  <si>
    <t>AREA DE HABILITACION:</t>
  </si>
  <si>
    <t>DEGRAFILA</t>
  </si>
  <si>
    <t>FLATH:</t>
  </si>
  <si>
    <t>REMATADORA</t>
  </si>
  <si>
    <t xml:space="preserve"> HACE 4 REMATES</t>
  </si>
  <si>
    <t>ETIQUETA</t>
  </si>
  <si>
    <t>TAMPOGRAFIA</t>
  </si>
  <si>
    <t xml:space="preserve">AREA DE HABILITACION: </t>
  </si>
  <si>
    <t>DESHEBRA</t>
  </si>
  <si>
    <t>T-CH</t>
  </si>
  <si>
    <t>CH</t>
  </si>
  <si>
    <t>MAQUINA</t>
  </si>
  <si>
    <t>31   CIXING</t>
  </si>
  <si>
    <t>LICRA:</t>
  </si>
  <si>
    <t>NYLON:</t>
  </si>
  <si>
    <t>PESO:</t>
  </si>
  <si>
    <t>YUKI 20/70/68</t>
  </si>
  <si>
    <t>95.7  INCLUIDO EL 10%</t>
  </si>
  <si>
    <t>PESO LIENSO COLLARETA:</t>
  </si>
  <si>
    <t>FECHA:   29 OCTUBRE 2025</t>
  </si>
  <si>
    <t xml:space="preserve">PESO TOTAL </t>
  </si>
  <si>
    <t>grs cada pza.</t>
  </si>
  <si>
    <t>grs.  (SALEN 9 PZAS)</t>
  </si>
  <si>
    <t>INCLUYE  CINTA DE LA COLLARETA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</si>
</sst>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7" x14ac:knownFonts="1">
    <font>
      <sz val="11"/>
      <color theme="1"/>
      <name val="Calibri"/>
      <charset val="1"/>
    </font>
    <font>
      <sz val="11"/>
      <color rgb="FF000000"/>
      <name val="Arial"/>
      <family val="2"/>
    </font>
    <font>
      <b/>
      <sz val="16"/>
      <color rgb="FFFFFF00"/>
      <name val="Consolas"/>
      <family val="3"/>
    </font>
    <font>
      <sz val="11"/>
      <color theme="1"/>
      <name val="Calibri"/>
      <family val="2"/>
    </font>
    <font>
      <sz val="10"/>
      <name val="Arial"/>
      <family val="2"/>
    </font>
    <font>
      <b/>
      <sz val="24"/>
      <color rgb="FFFFFF00"/>
      <name val="Consolas"/>
      <family val="3"/>
    </font>
    <font>
      <b/>
      <sz val="14"/>
      <color rgb="FFFFFF00"/>
      <name val="Consolas"/>
      <family val="3"/>
    </font>
    <font>
      <sz val="8"/>
      <name val="Calibri"/>
      <family val="2"/>
    </font>
    <font>
      <b/>
      <sz val="16"/>
      <color theme="1"/>
      <name val="Consolas"/>
      <family val="3"/>
    </font>
    <font>
      <sz val="14"/>
      <color theme="1"/>
      <name val="Consolas"/>
      <family val="3"/>
    </font>
    <font>
      <b/>
      <sz val="20"/>
      <color rgb="FFFFFF00"/>
      <name val="Consolas"/>
      <family val="3"/>
    </font>
    <font>
      <b/>
      <sz val="18"/>
      <name val="Consolas"/>
      <family val="3"/>
    </font>
    <font>
      <b/>
      <sz val="11"/>
      <name val="Consolas"/>
      <family val="3"/>
    </font>
    <font>
      <b/>
      <sz val="10"/>
      <name val="Consolas"/>
      <family val="3"/>
    </font>
    <font>
      <b/>
      <sz val="14"/>
      <name val="Consolas"/>
      <family val="3"/>
    </font>
    <font>
      <sz val="14"/>
      <name val="Consolas"/>
      <family val="3"/>
    </font>
    <font>
      <sz val="22"/>
      <name val="Consolas"/>
      <family val="3"/>
    </font>
    <font>
      <b/>
      <sz val="24"/>
      <name val="Consolas"/>
      <family val="3"/>
    </font>
    <font>
      <sz val="18"/>
      <name val="Consolas"/>
      <family val="3"/>
    </font>
    <font>
      <sz val="11"/>
      <name val="Consolas"/>
      <family val="3"/>
    </font>
    <font>
      <sz val="16"/>
      <name val="Consolas"/>
      <family val="3"/>
    </font>
    <font>
      <sz val="22"/>
      <color rgb="FF000000"/>
      <name val="Consolas"/>
      <family val="3"/>
    </font>
    <font>
      <sz val="20"/>
      <name val="Consolas"/>
      <family val="3"/>
    </font>
    <font>
      <sz val="11"/>
      <color theme="1"/>
      <name val="Calibri"/>
      <family val="2"/>
    </font>
    <font>
      <sz val="26"/>
      <color rgb="FF000000"/>
      <name val="Consolas"/>
      <family val="3"/>
    </font>
    <font>
      <sz val="11"/>
      <color theme="1"/>
      <name val="Arial Black"/>
      <family val="2"/>
    </font>
    <font>
      <sz val="18"/>
      <color theme="1"/>
      <name val="Arial Black"/>
      <family val="2"/>
    </font>
    <font>
      <sz val="18"/>
      <color theme="1"/>
      <name val="Calibri"/>
      <family val="2"/>
    </font>
    <font>
      <b/>
      <sz val="11"/>
      <color theme="1"/>
      <name val="Arial Black"/>
      <family val="2"/>
    </font>
    <font>
      <sz val="12"/>
      <color theme="1"/>
      <name val="Arial Black"/>
      <family val="2"/>
    </font>
    <font>
      <sz val="10"/>
      <color theme="1"/>
      <name val="Arial Black"/>
      <family val="2"/>
    </font>
    <font>
      <b/>
      <sz val="18"/>
      <color theme="1"/>
      <name val="Arial Black"/>
      <family val="2"/>
    </font>
    <font>
      <b/>
      <sz val="12"/>
      <color theme="1"/>
      <name val="Arial Black"/>
      <family val="2"/>
    </font>
    <font>
      <sz val="24"/>
      <color rgb="FFC00000"/>
      <name val="Bernard MT Condensed"/>
      <family val="1"/>
    </font>
    <font>
      <b/>
      <sz val="14"/>
      <color theme="1"/>
      <name val="Calibri"/>
      <family val="2"/>
    </font>
    <font>
      <sz val="22"/>
      <color theme="1"/>
      <name val="Bernard MT Condensed"/>
      <family val="1"/>
    </font>
    <font>
      <sz val="14"/>
      <color theme="1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theme="3" tint="0.249977111117893"/>
        <bgColor rgb="FF0066CC"/>
      </patternFill>
    </fill>
    <fill>
      <patternFill patternType="solid">
        <fgColor theme="3" tint="0.249977111117893"/>
        <bgColor rgb="FFFFFFCC"/>
      </patternFill>
    </fill>
    <fill>
      <patternFill patternType="solid">
        <fgColor theme="0"/>
        <bgColor rgb="FF0066CC"/>
      </patternFill>
    </fill>
    <fill>
      <patternFill patternType="solid">
        <fgColor theme="1" tint="0.249977111117893"/>
        <bgColor rgb="FFFFFFCC"/>
      </patternFill>
    </fill>
    <fill>
      <patternFill patternType="solid">
        <fgColor theme="3" tint="0.249977111117893"/>
        <bgColor auto="1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/>
      <right style="hair">
        <color indexed="64"/>
      </right>
      <top style="medium">
        <color auto="1"/>
      </top>
      <bottom/>
      <diagonal/>
    </border>
    <border>
      <left/>
      <right style="hair">
        <color indexed="64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/>
      <top style="medium">
        <color auto="1"/>
      </top>
      <bottom/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hair">
        <color indexed="64"/>
      </right>
      <top style="medium">
        <color auto="1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/>
    <xf numFmtId="9" fontId="23" fillId="0" borderId="0" applyFont="0" applyFill="0" applyBorder="0" applyAlignment="0" applyProtection="0"/>
  </cellStyleXfs>
  <cellXfs count="132">
    <xf numFmtId="0" fontId="0" fillId="0" borderId="0" xfId="0"/>
    <xf numFmtId="0" fontId="1" fillId="0" borderId="0" xfId="0" applyFont="1"/>
    <xf numFmtId="0" fontId="2" fillId="6" borderId="10" xfId="0" applyFont="1" applyFill="1" applyBorder="1" applyAlignment="1">
      <alignment vertical="center" wrapText="1"/>
    </xf>
    <xf numFmtId="0" fontId="2" fillId="6" borderId="6" xfId="0" applyFont="1" applyFill="1" applyBorder="1" applyAlignment="1">
      <alignment vertical="center" wrapText="1"/>
    </xf>
    <xf numFmtId="0" fontId="2" fillId="6" borderId="3" xfId="0" applyFont="1" applyFill="1" applyBorder="1" applyAlignment="1">
      <alignment vertical="center" wrapText="1"/>
    </xf>
    <xf numFmtId="0" fontId="2" fillId="6" borderId="0" xfId="0" applyFont="1" applyFill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6" borderId="11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17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" fillId="0" borderId="0" xfId="0" applyFont="1"/>
    <xf numFmtId="0" fontId="28" fillId="0" borderId="0" xfId="0" applyFont="1" applyAlignment="1">
      <alignment horizontal="right"/>
    </xf>
    <xf numFmtId="0" fontId="28" fillId="0" borderId="0" xfId="0" applyFont="1" applyAlignment="1">
      <alignment horizontal="left"/>
    </xf>
    <xf numFmtId="0" fontId="34" fillId="0" borderId="0" xfId="0" applyFont="1" applyAlignment="1">
      <alignment horizontal="center" vertical="center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center" vertical="center"/>
    </xf>
    <xf numFmtId="20" fontId="36" fillId="9" borderId="0" xfId="0" applyNumberFormat="1" applyFont="1" applyFill="1" applyAlignment="1">
      <alignment horizontal="center" vertical="center"/>
    </xf>
    <xf numFmtId="0" fontId="15" fillId="2" borderId="14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49" fontId="15" fillId="2" borderId="1" xfId="0" applyNumberFormat="1" applyFont="1" applyFill="1" applyBorder="1" applyAlignment="1">
      <alignment horizontal="center" vertical="center" wrapText="1"/>
    </xf>
    <xf numFmtId="49" fontId="15" fillId="2" borderId="2" xfId="0" applyNumberFormat="1" applyFont="1" applyFill="1" applyBorder="1" applyAlignment="1">
      <alignment horizontal="center" vertical="center" wrapText="1"/>
    </xf>
    <xf numFmtId="49" fontId="15" fillId="2" borderId="3" xfId="0" applyNumberFormat="1" applyFont="1" applyFill="1" applyBorder="1" applyAlignment="1">
      <alignment horizontal="center" vertical="center" wrapText="1"/>
    </xf>
    <xf numFmtId="49" fontId="15" fillId="2" borderId="4" xfId="0" applyNumberFormat="1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right" vertical="center"/>
    </xf>
    <xf numFmtId="0" fontId="6" fillId="4" borderId="13" xfId="0" applyFont="1" applyFill="1" applyBorder="1" applyAlignment="1">
      <alignment horizontal="right" vertical="center"/>
    </xf>
    <xf numFmtId="0" fontId="6" fillId="4" borderId="16" xfId="0" applyFont="1" applyFill="1" applyBorder="1" applyAlignment="1">
      <alignment horizontal="right" vertical="center" wrapText="1"/>
    </xf>
    <xf numFmtId="0" fontId="6" fillId="4" borderId="13" xfId="0" applyFont="1" applyFill="1" applyBorder="1" applyAlignment="1">
      <alignment horizontal="right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5" borderId="8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5" borderId="9" xfId="0" applyFont="1" applyFill="1" applyBorder="1" applyAlignment="1">
      <alignment horizontal="center" vertical="center" wrapText="1"/>
    </xf>
    <xf numFmtId="9" fontId="2" fillId="7" borderId="5" xfId="3" applyFont="1" applyFill="1" applyBorder="1" applyAlignment="1">
      <alignment horizontal="center" vertical="center" wrapText="1"/>
    </xf>
    <xf numFmtId="9" fontId="2" fillId="7" borderId="8" xfId="3" applyFont="1" applyFill="1" applyBorder="1" applyAlignment="1">
      <alignment horizontal="center" vertical="center" wrapText="1"/>
    </xf>
    <xf numFmtId="9" fontId="2" fillId="7" borderId="6" xfId="3" applyFont="1" applyFill="1" applyBorder="1" applyAlignment="1">
      <alignment horizontal="center" vertical="center" wrapText="1"/>
    </xf>
    <xf numFmtId="9" fontId="2" fillId="7" borderId="9" xfId="3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46" fontId="19" fillId="2" borderId="2" xfId="0" applyNumberFormat="1" applyFont="1" applyFill="1" applyBorder="1" applyAlignment="1">
      <alignment horizontal="center" vertical="center" wrapText="1"/>
    </xf>
    <xf numFmtId="46" fontId="19" fillId="2" borderId="4" xfId="0" applyNumberFormat="1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8" borderId="6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45" fontId="20" fillId="2" borderId="5" xfId="0" applyNumberFormat="1" applyFont="1" applyFill="1" applyBorder="1" applyAlignment="1">
      <alignment horizontal="center" vertical="center" wrapText="1"/>
    </xf>
    <xf numFmtId="45" fontId="20" fillId="2" borderId="1" xfId="0" applyNumberFormat="1" applyFont="1" applyFill="1" applyBorder="1" applyAlignment="1">
      <alignment horizontal="center" vertical="center" wrapText="1"/>
    </xf>
    <xf numFmtId="45" fontId="20" fillId="2" borderId="6" xfId="0" applyNumberFormat="1" applyFont="1" applyFill="1" applyBorder="1" applyAlignment="1">
      <alignment horizontal="center" vertical="center" wrapText="1"/>
    </xf>
    <xf numFmtId="45" fontId="20" fillId="2" borderId="3" xfId="0" applyNumberFormat="1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14" fillId="2" borderId="14" xfId="0" applyFont="1" applyFill="1" applyBorder="1" applyAlignment="1">
      <alignment horizontal="center" vertical="center" wrapText="1"/>
    </xf>
    <xf numFmtId="0" fontId="14" fillId="2" borderId="15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center" vertical="center" wrapText="1"/>
    </xf>
    <xf numFmtId="0" fontId="21" fillId="2" borderId="6" xfId="0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0" fontId="22" fillId="2" borderId="4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1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16" fillId="2" borderId="5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164" fontId="20" fillId="2" borderId="5" xfId="0" applyNumberFormat="1" applyFont="1" applyFill="1" applyBorder="1" applyAlignment="1">
      <alignment horizontal="center" vertical="center" wrapText="1"/>
    </xf>
    <xf numFmtId="164" fontId="20" fillId="2" borderId="1" xfId="0" applyNumberFormat="1" applyFont="1" applyFill="1" applyBorder="1" applyAlignment="1">
      <alignment horizontal="center" vertical="center" wrapText="1"/>
    </xf>
    <xf numFmtId="164" fontId="20" fillId="2" borderId="6" xfId="0" applyNumberFormat="1" applyFont="1" applyFill="1" applyBorder="1" applyAlignment="1">
      <alignment horizontal="center" vertical="center" wrapText="1"/>
    </xf>
    <xf numFmtId="164" fontId="20" fillId="2" borderId="3" xfId="0" applyNumberFormat="1" applyFont="1" applyFill="1" applyBorder="1" applyAlignment="1">
      <alignment horizontal="center" vertical="center" wrapText="1"/>
    </xf>
    <xf numFmtId="164" fontId="18" fillId="2" borderId="5" xfId="0" applyNumberFormat="1" applyFont="1" applyFill="1" applyBorder="1" applyAlignment="1">
      <alignment horizontal="center" vertical="center" wrapText="1"/>
    </xf>
    <xf numFmtId="164" fontId="18" fillId="2" borderId="1" xfId="0" applyNumberFormat="1" applyFont="1" applyFill="1" applyBorder="1" applyAlignment="1">
      <alignment horizontal="center" vertical="center" wrapText="1"/>
    </xf>
    <xf numFmtId="164" fontId="18" fillId="2" borderId="6" xfId="0" applyNumberFormat="1" applyFont="1" applyFill="1" applyBorder="1" applyAlignment="1">
      <alignment horizontal="center" vertical="center" wrapText="1"/>
    </xf>
    <xf numFmtId="164" fontId="18" fillId="2" borderId="3" xfId="0" applyNumberFormat="1" applyFont="1" applyFill="1" applyBorder="1" applyAlignment="1">
      <alignment horizontal="center" vertical="center" wrapText="1"/>
    </xf>
    <xf numFmtId="0" fontId="33" fillId="9" borderId="0" xfId="0" applyFont="1" applyFill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165" fontId="35" fillId="9" borderId="0" xfId="0" applyNumberFormat="1" applyFont="1" applyFill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2 2" xfId="2" xr:uid="{00000000-0005-0000-0000-000002000000}"/>
    <cellStyle name="Porcentaje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ADBDA"/>
      <color rgb="FFC0D6DA"/>
      <color rgb="FFA5C6CB"/>
      <color rgb="FF3F68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28576</xdr:colOff>
      <xdr:row>3</xdr:row>
      <xdr:rowOff>219075</xdr:rowOff>
    </xdr:from>
    <xdr:to>
      <xdr:col>3</xdr:col>
      <xdr:colOff>686420</xdr:colOff>
      <xdr:row>12</xdr:row>
      <xdr:rowOff>14625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9C63EC7-E009-412E-8933-286E74C50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65" b="265"/>
        <a:stretch/>
      </xdr:blipFill>
      <xdr:spPr>
        <a:xfrm>
          <a:off x="66676" y="781050"/>
          <a:ext cx="1457944" cy="1872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209550</xdr:colOff>
      <xdr:row>17</xdr:row>
      <xdr:rowOff>47625</xdr:rowOff>
    </xdr:from>
    <xdr:to>
      <xdr:col>9</xdr:col>
      <xdr:colOff>152400</xdr:colOff>
      <xdr:row>31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68711C-AE01-C9DF-5F63-03B431AF82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29275" y="4591050"/>
          <a:ext cx="2305050" cy="3086100"/>
        </a:xfrm>
        <a:prstGeom prst="rect">
          <a:avLst/>
        </a:prstGeom>
      </xdr:spPr>
    </xdr:pic>
    <xdr:clientData/>
  </xdr:twoCellAnchor>
  <xdr:twoCellAnchor editAs="oneCell">
    <xdr:from>
      <xdr:col>9</xdr:col>
      <xdr:colOff>342901</xdr:colOff>
      <xdr:row>17</xdr:row>
      <xdr:rowOff>47625</xdr:rowOff>
    </xdr:from>
    <xdr:to>
      <xdr:col>12</xdr:col>
      <xdr:colOff>409575</xdr:colOff>
      <xdr:row>31</xdr:row>
      <xdr:rowOff>95250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267879D-3F96-731E-5ACD-A7ED8AC6C1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24826" y="4591050"/>
          <a:ext cx="2295524" cy="3143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  <wetp:taskpane dockstate="right" visibility="0" width="350" row="6">
    <wetp:webextensionref xmlns:r="http://schemas.openxmlformats.org/officeDocument/2006/relationships" r:id="rId3"/>
  </wetp:taskpane>
  <wetp:taskpane dockstate="right" visibility="0" width="350" row="9">
    <wetp:webextensionref xmlns:r="http://schemas.openxmlformats.org/officeDocument/2006/relationships" r:id="rId4"/>
  </wetp:taskpane>
  <wetp:taskpane dockstate="right" visibility="0" width="350" row="10">
    <wetp:webextensionref xmlns:r="http://schemas.openxmlformats.org/officeDocument/2006/relationships" r:id="rId5"/>
  </wetp:taskpane>
</wetp:taskpanes>
</file>

<file path=xl/webextensions/webextension1.xml><?xml version="1.0" encoding="utf-8"?>
<we:webextension xmlns:we="http://schemas.microsoft.com/office/webextensions/webextension/2010/11" id="{9E234855-1FF7-495E-B20C-9D4E41B6E2E3}">
  <we:reference id="wa200006009" version="2.0.1.10" store="es-ES" storeType="OMEX"/>
  <we:alternateReferences>
    <we:reference id="wa200006009" version="2.0.1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4975ADD5-02AD-469D-AF72-F5C7602E71E8}">
  <we:reference id="wa200001584" version="2.8.1.5" store="ru-RU" storeType="OMEX"/>
  <we:alternateReferences>
    <we:reference id="WA200001584" version="2.8.1.5" store="WA200001584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FE958F2B-B20F-418B-9918-F36E8ACB331B}">
  <we:reference id="wa200005502" version="1.0.0.11" store="ru-RU" storeType="OMEX"/>
  <we:alternateReferences>
    <we:reference id="wa200005502" version="1.0.0.11" store="wa200005502" storeType="OMEX"/>
  </we:alternateReferences>
  <we:properties>
    <we:property name="docId" value="&quot;MHkDGSqiHUE6QMYXiB2z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C68FDE5D-1635-4C70-8F4C-5DA3D930C47A}">
  <we:reference id="wa200005669" version="2.0.0.0" store="es-MX" storeType="OMEX"/>
  <we:alternateReferences>
    <we:reference id="WA200005669" version="2.0.0.0" store="WA200005669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3C48059D-D726-4B5F-BE70-8A4C6AA7B313}">
  <we:reference id="wa200006230" version="1.0.0.0" store="es-MX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80"/>
  <sheetViews>
    <sheetView showGridLines="0" zoomScaleNormal="100" workbookViewId="0">
      <selection activeCell="R16" sqref="R16"/>
    </sheetView>
  </sheetViews>
  <sheetFormatPr baseColWidth="10" defaultColWidth="14.42578125" defaultRowHeight="15" x14ac:dyDescent="0.25"/>
  <cols>
    <col min="1" max="1" width="0.5703125" customWidth="1"/>
    <col min="2" max="2" width="6.7109375" customWidth="1"/>
    <col min="3" max="3" width="5.28515625" customWidth="1"/>
    <col min="4" max="4" width="10.7109375" customWidth="1"/>
    <col min="5" max="5" width="6.5703125" customWidth="1"/>
    <col min="6" max="6" width="9.28515625" customWidth="1"/>
    <col min="7" max="7" width="9.7109375" customWidth="1"/>
    <col min="8" max="8" width="10.7109375" customWidth="1"/>
    <col min="9" max="9" width="5.7109375" customWidth="1"/>
    <col min="10" max="10" width="9.7109375" customWidth="1"/>
    <col min="11" max="11" width="10.7109375" customWidth="1"/>
    <col min="12" max="12" width="5.7109375" customWidth="1"/>
    <col min="13" max="13" width="9.7109375" customWidth="1"/>
    <col min="14" max="14" width="10.7109375" customWidth="1"/>
    <col min="15" max="15" width="5.7109375" customWidth="1"/>
  </cols>
  <sheetData>
    <row r="1" spans="1:15" ht="12.75" customHeight="1" thickBot="1" x14ac:dyDescent="0.3">
      <c r="A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5.95" customHeight="1" x14ac:dyDescent="0.25">
      <c r="B2" s="49" t="s">
        <v>1</v>
      </c>
      <c r="C2" s="50"/>
      <c r="D2" s="51"/>
      <c r="E2" s="78" t="s">
        <v>2</v>
      </c>
      <c r="F2" s="78"/>
      <c r="G2" s="78"/>
      <c r="H2" s="78"/>
      <c r="I2" s="78"/>
      <c r="J2" s="78"/>
      <c r="K2" s="78"/>
      <c r="L2" s="78"/>
      <c r="M2" s="78"/>
      <c r="N2" s="78"/>
      <c r="O2" s="79"/>
    </row>
    <row r="3" spans="1:15" ht="15.95" customHeight="1" thickBot="1" x14ac:dyDescent="0.3">
      <c r="B3" s="52"/>
      <c r="C3" s="53"/>
      <c r="D3" s="54"/>
      <c r="E3" s="80"/>
      <c r="F3" s="80"/>
      <c r="G3" s="80"/>
      <c r="H3" s="80"/>
      <c r="I3" s="80"/>
      <c r="J3" s="80"/>
      <c r="K3" s="80"/>
      <c r="L3" s="80"/>
      <c r="M3" s="80"/>
      <c r="N3" s="80"/>
      <c r="O3" s="81"/>
    </row>
    <row r="4" spans="1:15" ht="21" customHeight="1" x14ac:dyDescent="0.25">
      <c r="B4" s="2"/>
      <c r="C4" s="5"/>
      <c r="D4" s="6"/>
      <c r="E4" s="106" t="s">
        <v>26</v>
      </c>
      <c r="F4" s="107"/>
      <c r="G4" s="107"/>
      <c r="H4" s="107"/>
      <c r="I4" s="107"/>
      <c r="J4" s="107"/>
      <c r="K4" s="107"/>
      <c r="L4" s="107"/>
      <c r="M4" s="107"/>
      <c r="N4" s="107"/>
      <c r="O4" s="108"/>
    </row>
    <row r="5" spans="1:15" ht="19.5" customHeight="1" x14ac:dyDescent="0.25">
      <c r="B5" s="2"/>
      <c r="C5" s="5"/>
      <c r="D5" s="7"/>
      <c r="E5" s="109"/>
      <c r="F5" s="110"/>
      <c r="G5" s="110"/>
      <c r="H5" s="110"/>
      <c r="I5" s="110"/>
      <c r="J5" s="110"/>
      <c r="K5" s="110"/>
      <c r="L5" s="110"/>
      <c r="M5" s="110"/>
      <c r="N5" s="110"/>
      <c r="O5" s="111"/>
    </row>
    <row r="6" spans="1:15" ht="15" customHeight="1" x14ac:dyDescent="0.25">
      <c r="B6" s="2"/>
      <c r="C6" s="5"/>
      <c r="D6" s="7"/>
      <c r="E6" s="109"/>
      <c r="F6" s="110"/>
      <c r="G6" s="110"/>
      <c r="H6" s="110"/>
      <c r="I6" s="110"/>
      <c r="J6" s="110"/>
      <c r="K6" s="110"/>
      <c r="L6" s="110"/>
      <c r="M6" s="110"/>
      <c r="N6" s="110"/>
      <c r="O6" s="111"/>
    </row>
    <row r="7" spans="1:15" ht="21.75" customHeight="1" thickBot="1" x14ac:dyDescent="0.3">
      <c r="B7" s="2"/>
      <c r="C7" s="5"/>
      <c r="D7" s="7"/>
      <c r="E7" s="112"/>
      <c r="F7" s="113"/>
      <c r="G7" s="113"/>
      <c r="H7" s="113"/>
      <c r="I7" s="113"/>
      <c r="J7" s="113"/>
      <c r="K7" s="113"/>
      <c r="L7" s="113"/>
      <c r="M7" s="113"/>
      <c r="N7" s="113"/>
      <c r="O7" s="114"/>
    </row>
    <row r="8" spans="1:15" ht="20.100000000000001" customHeight="1" thickBot="1" x14ac:dyDescent="0.3">
      <c r="B8" s="2"/>
      <c r="C8" s="5"/>
      <c r="D8" s="7"/>
      <c r="E8" s="37" t="s">
        <v>4</v>
      </c>
      <c r="F8" s="38"/>
      <c r="G8" s="92" t="s">
        <v>54</v>
      </c>
      <c r="H8" s="93"/>
      <c r="I8" s="94"/>
      <c r="J8" s="92"/>
      <c r="K8" s="93"/>
      <c r="L8" s="94"/>
      <c r="M8" s="92" t="s">
        <v>14</v>
      </c>
      <c r="N8" s="93"/>
      <c r="O8" s="94"/>
    </row>
    <row r="9" spans="1:15" ht="20.100000000000001" customHeight="1" thickBot="1" x14ac:dyDescent="0.3">
      <c r="B9" s="2"/>
      <c r="C9" s="5"/>
      <c r="D9" s="7"/>
      <c r="E9" s="37"/>
      <c r="F9" s="38"/>
      <c r="G9" s="95"/>
      <c r="H9" s="96"/>
      <c r="I9" s="97"/>
      <c r="J9" s="95"/>
      <c r="K9" s="96"/>
      <c r="L9" s="97"/>
      <c r="M9" s="95"/>
      <c r="N9" s="96"/>
      <c r="O9" s="97"/>
    </row>
    <row r="10" spans="1:15" ht="15.95" customHeight="1" thickBot="1" x14ac:dyDescent="0.3">
      <c r="B10" s="2"/>
      <c r="C10" s="5"/>
      <c r="D10" s="7"/>
      <c r="E10" s="37" t="s">
        <v>3</v>
      </c>
      <c r="F10" s="38"/>
      <c r="G10" s="98" t="s">
        <v>23</v>
      </c>
      <c r="H10" s="99"/>
      <c r="I10" s="100"/>
      <c r="J10" s="98" t="s">
        <v>32</v>
      </c>
      <c r="K10" s="99"/>
      <c r="L10" s="100"/>
      <c r="M10" s="98" t="s">
        <v>14</v>
      </c>
      <c r="N10" s="99"/>
      <c r="O10" s="100"/>
    </row>
    <row r="11" spans="1:15" ht="15.95" customHeight="1" thickBot="1" x14ac:dyDescent="0.3">
      <c r="B11" s="2"/>
      <c r="C11" s="5"/>
      <c r="D11" s="7"/>
      <c r="E11" s="37"/>
      <c r="F11" s="38"/>
      <c r="G11" s="101"/>
      <c r="H11" s="102"/>
      <c r="I11" s="103"/>
      <c r="J11" s="101"/>
      <c r="K11" s="102"/>
      <c r="L11" s="103"/>
      <c r="M11" s="101"/>
      <c r="N11" s="102"/>
      <c r="O11" s="103"/>
    </row>
    <row r="12" spans="1:15" ht="15.95" customHeight="1" thickBot="1" x14ac:dyDescent="0.3">
      <c r="B12" s="2"/>
      <c r="C12" s="5"/>
      <c r="D12" s="7"/>
      <c r="E12" s="35" t="s">
        <v>5</v>
      </c>
      <c r="F12" s="36"/>
      <c r="G12" s="115" t="s">
        <v>30</v>
      </c>
      <c r="H12" s="116"/>
      <c r="I12" s="117"/>
      <c r="J12" s="115" t="s">
        <v>31</v>
      </c>
      <c r="K12" s="116"/>
      <c r="L12" s="117"/>
      <c r="M12" s="115" t="s">
        <v>14</v>
      </c>
      <c r="N12" s="116"/>
      <c r="O12" s="117"/>
    </row>
    <row r="13" spans="1:15" ht="15.95" customHeight="1" thickBot="1" x14ac:dyDescent="0.3">
      <c r="B13" s="2"/>
      <c r="C13" s="5"/>
      <c r="D13" s="7"/>
      <c r="E13" s="35"/>
      <c r="F13" s="36"/>
      <c r="G13" s="118"/>
      <c r="H13" s="119"/>
      <c r="I13" s="120"/>
      <c r="J13" s="118"/>
      <c r="K13" s="119"/>
      <c r="L13" s="120"/>
      <c r="M13" s="118"/>
      <c r="N13" s="119"/>
      <c r="O13" s="120"/>
    </row>
    <row r="14" spans="1:15" ht="15.95" customHeight="1" thickBot="1" x14ac:dyDescent="0.3">
      <c r="B14" s="2"/>
      <c r="C14" s="5"/>
      <c r="D14" s="7"/>
      <c r="E14" s="37" t="s">
        <v>22</v>
      </c>
      <c r="F14" s="38"/>
      <c r="G14" s="121">
        <f>87*110%</f>
        <v>95.7</v>
      </c>
      <c r="H14" s="122"/>
      <c r="I14" s="104" t="s">
        <v>6</v>
      </c>
      <c r="J14" s="125"/>
      <c r="K14" s="126"/>
      <c r="L14" s="104" t="s">
        <v>6</v>
      </c>
      <c r="M14" s="125"/>
      <c r="N14" s="126"/>
      <c r="O14" s="104" t="s">
        <v>6</v>
      </c>
    </row>
    <row r="15" spans="1:15" ht="15.95" customHeight="1" thickBot="1" x14ac:dyDescent="0.3">
      <c r="B15" s="2"/>
      <c r="C15" s="5"/>
      <c r="D15" s="7"/>
      <c r="E15" s="37"/>
      <c r="F15" s="38"/>
      <c r="G15" s="123"/>
      <c r="H15" s="124"/>
      <c r="I15" s="105"/>
      <c r="J15" s="127"/>
      <c r="K15" s="128"/>
      <c r="L15" s="105"/>
      <c r="M15" s="127"/>
      <c r="N15" s="128"/>
      <c r="O15" s="105"/>
    </row>
    <row r="16" spans="1:15" ht="15.95" customHeight="1" thickBot="1" x14ac:dyDescent="0.3">
      <c r="B16" s="2"/>
      <c r="C16" s="5"/>
      <c r="D16" s="7"/>
      <c r="E16" s="37" t="s">
        <v>7</v>
      </c>
      <c r="F16" s="38"/>
      <c r="G16" s="84">
        <v>3.0555555555555557E-3</v>
      </c>
      <c r="H16" s="85"/>
      <c r="I16" s="70" t="s">
        <v>8</v>
      </c>
      <c r="J16" s="84"/>
      <c r="K16" s="85"/>
      <c r="L16" s="70" t="s">
        <v>8</v>
      </c>
      <c r="M16" s="84"/>
      <c r="N16" s="85"/>
      <c r="O16" s="70" t="s">
        <v>8</v>
      </c>
    </row>
    <row r="17" spans="2:15" ht="15.95" customHeight="1" thickBot="1" x14ac:dyDescent="0.3">
      <c r="B17" s="3"/>
      <c r="C17" s="4"/>
      <c r="D17" s="8"/>
      <c r="E17" s="37"/>
      <c r="F17" s="38"/>
      <c r="G17" s="86"/>
      <c r="H17" s="87"/>
      <c r="I17" s="71"/>
      <c r="J17" s="86"/>
      <c r="K17" s="87"/>
      <c r="L17" s="71"/>
      <c r="M17" s="86"/>
      <c r="N17" s="87"/>
      <c r="O17" s="71"/>
    </row>
    <row r="18" spans="2:15" ht="15.95" customHeight="1" x14ac:dyDescent="0.25">
      <c r="B18" s="72" t="s">
        <v>13</v>
      </c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4"/>
    </row>
    <row r="19" spans="2:15" ht="15.95" customHeight="1" thickBot="1" x14ac:dyDescent="0.3">
      <c r="B19" s="75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7"/>
    </row>
    <row r="20" spans="2:15" ht="9.75" customHeight="1" x14ac:dyDescent="0.25">
      <c r="B20" s="55" t="s">
        <v>16</v>
      </c>
      <c r="C20" s="56"/>
      <c r="D20" s="56"/>
      <c r="E20" s="56"/>
      <c r="F20" s="56"/>
      <c r="G20" s="58" t="s">
        <v>25</v>
      </c>
      <c r="H20" s="59"/>
      <c r="I20" s="60"/>
      <c r="J20" s="58"/>
      <c r="K20" s="59"/>
      <c r="L20" s="60"/>
      <c r="M20" s="58"/>
      <c r="N20" s="59"/>
      <c r="O20" s="60"/>
    </row>
    <row r="21" spans="2:15" ht="18.75" customHeight="1" thickBot="1" x14ac:dyDescent="0.3">
      <c r="B21" s="41"/>
      <c r="C21" s="57"/>
      <c r="D21" s="57"/>
      <c r="E21" s="57"/>
      <c r="F21" s="57"/>
      <c r="G21" s="61"/>
      <c r="H21" s="62"/>
      <c r="I21" s="63"/>
      <c r="J21" s="61"/>
      <c r="K21" s="62"/>
      <c r="L21" s="63"/>
      <c r="M21" s="61"/>
      <c r="N21" s="62"/>
      <c r="O21" s="63"/>
    </row>
    <row r="22" spans="2:15" ht="10.5" customHeight="1" x14ac:dyDescent="0.25">
      <c r="B22" s="39" t="s">
        <v>11</v>
      </c>
      <c r="C22" s="40"/>
      <c r="D22" s="82" t="s">
        <v>9</v>
      </c>
      <c r="E22" s="82"/>
      <c r="F22" s="82"/>
      <c r="G22" s="64" t="s">
        <v>17</v>
      </c>
      <c r="H22" s="66" t="s">
        <v>15</v>
      </c>
      <c r="I22" s="67"/>
      <c r="J22" s="64"/>
      <c r="K22" s="66"/>
      <c r="L22" s="67"/>
      <c r="M22" s="64"/>
      <c r="N22" s="66"/>
      <c r="O22" s="67"/>
    </row>
    <row r="23" spans="2:15" ht="15.95" customHeight="1" thickBot="1" x14ac:dyDescent="0.3">
      <c r="B23" s="41"/>
      <c r="C23" s="42"/>
      <c r="D23" s="83"/>
      <c r="E23" s="83"/>
      <c r="F23" s="83"/>
      <c r="G23" s="65"/>
      <c r="H23" s="68"/>
      <c r="I23" s="69"/>
      <c r="J23" s="65"/>
      <c r="K23" s="68"/>
      <c r="L23" s="69"/>
      <c r="M23" s="65"/>
      <c r="N23" s="68"/>
      <c r="O23" s="69"/>
    </row>
    <row r="24" spans="2:15" ht="15.95" customHeight="1" x14ac:dyDescent="0.25">
      <c r="B24" s="43">
        <v>0.52</v>
      </c>
      <c r="C24" s="44"/>
      <c r="D24" s="47" t="s">
        <v>20</v>
      </c>
      <c r="E24" s="48"/>
      <c r="F24" s="48"/>
      <c r="G24" s="90" t="s">
        <v>19</v>
      </c>
      <c r="H24" s="27" t="s">
        <v>10</v>
      </c>
      <c r="I24" s="28"/>
      <c r="J24" s="25"/>
      <c r="K24" s="31"/>
      <c r="L24" s="32"/>
      <c r="M24" s="25"/>
      <c r="N24" s="31"/>
      <c r="O24" s="32"/>
    </row>
    <row r="25" spans="2:15" ht="15.95" customHeight="1" thickBot="1" x14ac:dyDescent="0.3">
      <c r="B25" s="45"/>
      <c r="C25" s="46"/>
      <c r="D25" s="88" t="s">
        <v>21</v>
      </c>
      <c r="E25" s="89"/>
      <c r="F25" s="89"/>
      <c r="G25" s="91"/>
      <c r="H25" s="29"/>
      <c r="I25" s="30"/>
      <c r="J25" s="26"/>
      <c r="K25" s="33"/>
      <c r="L25" s="34"/>
      <c r="M25" s="26"/>
      <c r="N25" s="33"/>
      <c r="O25" s="34"/>
    </row>
    <row r="26" spans="2:15" ht="15.95" customHeight="1" x14ac:dyDescent="0.25">
      <c r="B26" s="43">
        <v>0.01</v>
      </c>
      <c r="C26" s="44"/>
      <c r="D26" s="47" t="s">
        <v>27</v>
      </c>
      <c r="E26" s="48"/>
      <c r="F26" s="48"/>
      <c r="G26" s="90" t="s">
        <v>28</v>
      </c>
      <c r="H26" s="31" t="s">
        <v>29</v>
      </c>
      <c r="I26" s="32"/>
      <c r="J26" s="25"/>
      <c r="K26" s="31"/>
      <c r="L26" s="32"/>
      <c r="M26" s="25"/>
      <c r="N26" s="31"/>
      <c r="O26" s="32"/>
    </row>
    <row r="27" spans="2:15" ht="15.95" customHeight="1" thickBot="1" x14ac:dyDescent="0.3">
      <c r="B27" s="45"/>
      <c r="C27" s="46"/>
      <c r="D27" s="88">
        <v>40</v>
      </c>
      <c r="E27" s="89"/>
      <c r="F27" s="89"/>
      <c r="G27" s="91"/>
      <c r="H27" s="33"/>
      <c r="I27" s="34"/>
      <c r="J27" s="26"/>
      <c r="K27" s="33"/>
      <c r="L27" s="34"/>
      <c r="M27" s="26"/>
      <c r="N27" s="33"/>
      <c r="O27" s="34"/>
    </row>
    <row r="28" spans="2:15" ht="15.95" customHeight="1" x14ac:dyDescent="0.25">
      <c r="B28" s="43">
        <v>0.47</v>
      </c>
      <c r="C28" s="44"/>
      <c r="D28" s="47" t="s">
        <v>18</v>
      </c>
      <c r="E28" s="48"/>
      <c r="F28" s="48"/>
      <c r="G28" s="90" t="s">
        <v>24</v>
      </c>
      <c r="H28" s="31" t="s">
        <v>10</v>
      </c>
      <c r="I28" s="32"/>
      <c r="J28" s="25"/>
      <c r="K28" s="31"/>
      <c r="L28" s="32"/>
      <c r="M28" s="25"/>
      <c r="N28" s="31"/>
      <c r="O28" s="32"/>
    </row>
    <row r="29" spans="2:15" ht="15.95" customHeight="1" thickBot="1" x14ac:dyDescent="0.3">
      <c r="B29" s="45"/>
      <c r="C29" s="46"/>
      <c r="D29" s="88" t="s">
        <v>12</v>
      </c>
      <c r="E29" s="89"/>
      <c r="F29" s="89"/>
      <c r="G29" s="91"/>
      <c r="H29" s="33"/>
      <c r="I29" s="34"/>
      <c r="J29" s="26"/>
      <c r="K29" s="33"/>
      <c r="L29" s="34"/>
      <c r="M29" s="26"/>
      <c r="N29" s="33"/>
      <c r="O29" s="34"/>
    </row>
    <row r="30" spans="2:15" ht="15.75" customHeight="1" x14ac:dyDescent="0.25">
      <c r="B30" s="43"/>
      <c r="C30" s="44"/>
      <c r="D30" s="47"/>
      <c r="E30" s="48"/>
      <c r="F30" s="48"/>
      <c r="G30" s="90"/>
      <c r="H30" s="31"/>
      <c r="I30" s="32"/>
      <c r="J30" s="25"/>
      <c r="K30" s="27"/>
      <c r="L30" s="28"/>
      <c r="M30" s="25"/>
      <c r="N30" s="27"/>
      <c r="O30" s="28"/>
    </row>
    <row r="31" spans="2:15" ht="15.75" customHeight="1" thickBot="1" x14ac:dyDescent="0.3">
      <c r="B31" s="45"/>
      <c r="C31" s="46"/>
      <c r="D31" s="88"/>
      <c r="E31" s="89"/>
      <c r="F31" s="89"/>
      <c r="G31" s="91"/>
      <c r="H31" s="33"/>
      <c r="I31" s="34"/>
      <c r="J31" s="26"/>
      <c r="K31" s="29"/>
      <c r="L31" s="30"/>
      <c r="M31" s="26"/>
      <c r="N31" s="29"/>
      <c r="O31" s="30"/>
    </row>
    <row r="32" spans="2:1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</sheetData>
  <mergeCells count="78">
    <mergeCell ref="B30:C31"/>
    <mergeCell ref="G24:G25"/>
    <mergeCell ref="H24:I25"/>
    <mergeCell ref="D25:F25"/>
    <mergeCell ref="G30:G31"/>
    <mergeCell ref="H30:I31"/>
    <mergeCell ref="D30:F30"/>
    <mergeCell ref="B28:C29"/>
    <mergeCell ref="B26:C27"/>
    <mergeCell ref="D31:F31"/>
    <mergeCell ref="E4:O7"/>
    <mergeCell ref="J24:J25"/>
    <mergeCell ref="K24:L25"/>
    <mergeCell ref="M24:M25"/>
    <mergeCell ref="N24:O25"/>
    <mergeCell ref="M10:O11"/>
    <mergeCell ref="M16:N17"/>
    <mergeCell ref="N22:O23"/>
    <mergeCell ref="I14:I15"/>
    <mergeCell ref="G20:I21"/>
    <mergeCell ref="G12:I13"/>
    <mergeCell ref="J12:L13"/>
    <mergeCell ref="G14:H15"/>
    <mergeCell ref="J14:K15"/>
    <mergeCell ref="M14:N15"/>
    <mergeCell ref="M12:O13"/>
    <mergeCell ref="I16:I17"/>
    <mergeCell ref="M20:O21"/>
    <mergeCell ref="O16:O17"/>
    <mergeCell ref="M8:O9"/>
    <mergeCell ref="G10:I11"/>
    <mergeCell ref="J10:L11"/>
    <mergeCell ref="O14:O15"/>
    <mergeCell ref="L14:L15"/>
    <mergeCell ref="G8:I9"/>
    <mergeCell ref="J8:L9"/>
    <mergeCell ref="M22:M23"/>
    <mergeCell ref="D29:F29"/>
    <mergeCell ref="D26:F26"/>
    <mergeCell ref="G26:G27"/>
    <mergeCell ref="H26:I27"/>
    <mergeCell ref="D27:F27"/>
    <mergeCell ref="J26:J27"/>
    <mergeCell ref="J28:J29"/>
    <mergeCell ref="K26:L27"/>
    <mergeCell ref="M26:M27"/>
    <mergeCell ref="D28:F28"/>
    <mergeCell ref="G28:G29"/>
    <mergeCell ref="H28:I29"/>
    <mergeCell ref="B2:D3"/>
    <mergeCell ref="B20:F21"/>
    <mergeCell ref="J20:L21"/>
    <mergeCell ref="J22:J23"/>
    <mergeCell ref="K22:L23"/>
    <mergeCell ref="G22:G23"/>
    <mergeCell ref="H22:I23"/>
    <mergeCell ref="L16:L17"/>
    <mergeCell ref="B18:O19"/>
    <mergeCell ref="E2:O3"/>
    <mergeCell ref="E8:F9"/>
    <mergeCell ref="E10:F11"/>
    <mergeCell ref="D22:F23"/>
    <mergeCell ref="G16:H17"/>
    <mergeCell ref="J16:K17"/>
    <mergeCell ref="E16:F17"/>
    <mergeCell ref="E12:F13"/>
    <mergeCell ref="E14:F15"/>
    <mergeCell ref="B22:C23"/>
    <mergeCell ref="B24:C25"/>
    <mergeCell ref="D24:F24"/>
    <mergeCell ref="J30:J31"/>
    <mergeCell ref="K30:L31"/>
    <mergeCell ref="N26:O27"/>
    <mergeCell ref="K28:L29"/>
    <mergeCell ref="M28:M29"/>
    <mergeCell ref="N28:O29"/>
    <mergeCell ref="M30:M31"/>
    <mergeCell ref="N30:O31"/>
  </mergeCells>
  <phoneticPr fontId="7" type="noConversion"/>
  <printOptions horizontalCentered="1"/>
  <pageMargins left="0.12" right="0.12" top="0.28999999999999998" bottom="0" header="0.18" footer="0"/>
  <pageSetup scale="11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9C42A-941E-4C5F-B3B1-AF2D82278708}">
  <dimension ref="A1:M24"/>
  <sheetViews>
    <sheetView tabSelected="1" workbookViewId="0">
      <selection activeCell="D29" sqref="D29"/>
    </sheetView>
  </sheetViews>
  <sheetFormatPr baseColWidth="10" defaultRowHeight="15" x14ac:dyDescent="0.25"/>
  <cols>
    <col min="1" max="1" width="16.85546875" customWidth="1"/>
    <col min="2" max="2" width="18.140625" customWidth="1"/>
    <col min="4" max="4" width="12.7109375" customWidth="1"/>
    <col min="6" max="6" width="10.7109375" bestFit="1" customWidth="1"/>
    <col min="8" max="8" width="14.140625" customWidth="1"/>
    <col min="9" max="9" width="9.85546875" bestFit="1" customWidth="1"/>
    <col min="10" max="10" width="10.5703125" customWidth="1"/>
  </cols>
  <sheetData>
    <row r="1" spans="1:13" ht="27" x14ac:dyDescent="0.5">
      <c r="B1" s="10" t="s">
        <v>33</v>
      </c>
      <c r="C1" s="10"/>
      <c r="D1" s="11"/>
    </row>
    <row r="2" spans="1:13" ht="27" x14ac:dyDescent="0.5">
      <c r="A2" s="12" t="s">
        <v>63</v>
      </c>
      <c r="B2" s="15"/>
      <c r="C2" s="10"/>
      <c r="D2" s="11"/>
    </row>
    <row r="3" spans="1:13" ht="18.75" x14ac:dyDescent="0.4">
      <c r="A3" s="9" t="s">
        <v>34</v>
      </c>
      <c r="B3" s="9"/>
      <c r="C3" s="9"/>
      <c r="D3" s="9"/>
    </row>
    <row r="4" spans="1:13" ht="19.5" x14ac:dyDescent="0.4">
      <c r="A4" s="9" t="s">
        <v>35</v>
      </c>
      <c r="B4" s="9" t="s">
        <v>36</v>
      </c>
      <c r="C4" s="9"/>
      <c r="D4" s="9"/>
      <c r="H4" s="13" t="s">
        <v>53</v>
      </c>
      <c r="I4" s="13"/>
      <c r="J4" s="13"/>
    </row>
    <row r="5" spans="1:13" ht="19.5" x14ac:dyDescent="0.4">
      <c r="A5" s="9" t="s">
        <v>37</v>
      </c>
      <c r="B5" s="9"/>
      <c r="C5" s="9" t="s">
        <v>38</v>
      </c>
      <c r="D5" s="9"/>
      <c r="F5" s="129">
        <f>SUM(F7:F22)</f>
        <v>7.05</v>
      </c>
      <c r="H5" s="13" t="s">
        <v>55</v>
      </c>
      <c r="J5" s="13" t="s">
        <v>56</v>
      </c>
    </row>
    <row r="6" spans="1:13" ht="20.25" thickBot="1" x14ac:dyDescent="0.45">
      <c r="F6" s="130"/>
      <c r="H6" s="13" t="s">
        <v>57</v>
      </c>
      <c r="J6" s="13" t="s">
        <v>60</v>
      </c>
    </row>
    <row r="7" spans="1:13" ht="20.25" thickBot="1" x14ac:dyDescent="0.45">
      <c r="A7" s="19" t="s">
        <v>39</v>
      </c>
      <c r="B7" s="20" t="s">
        <v>40</v>
      </c>
      <c r="C7" s="12"/>
      <c r="D7" s="12"/>
      <c r="F7" s="16">
        <v>1</v>
      </c>
      <c r="H7" s="13" t="s">
        <v>58</v>
      </c>
      <c r="J7" s="13" t="s">
        <v>12</v>
      </c>
    </row>
    <row r="8" spans="1:13" ht="23.25" thickBot="1" x14ac:dyDescent="0.45">
      <c r="A8" s="19"/>
      <c r="B8" s="20"/>
      <c r="C8" s="12"/>
      <c r="D8" s="12"/>
      <c r="F8" s="17"/>
      <c r="H8" s="13" t="s">
        <v>7</v>
      </c>
      <c r="I8" s="24">
        <v>0.18333333333333335</v>
      </c>
      <c r="J8" s="13"/>
    </row>
    <row r="9" spans="1:13" ht="20.25" thickBot="1" x14ac:dyDescent="0.45">
      <c r="A9" s="19" t="s">
        <v>41</v>
      </c>
      <c r="B9" s="20" t="s">
        <v>40</v>
      </c>
      <c r="C9" s="12"/>
      <c r="D9" s="12"/>
      <c r="F9" s="16">
        <v>1.2</v>
      </c>
      <c r="H9" s="13" t="s">
        <v>59</v>
      </c>
      <c r="I9" s="21">
        <v>9.5699999999999993E-2</v>
      </c>
      <c r="J9" s="13" t="s">
        <v>61</v>
      </c>
    </row>
    <row r="10" spans="1:13" ht="20.25" thickBot="1" x14ac:dyDescent="0.45">
      <c r="A10" s="19"/>
      <c r="B10" s="20"/>
      <c r="C10" s="12"/>
      <c r="D10" s="12"/>
      <c r="F10" s="17"/>
    </row>
    <row r="11" spans="1:13" ht="20.25" thickBot="1" x14ac:dyDescent="0.45">
      <c r="A11" s="19" t="s">
        <v>42</v>
      </c>
      <c r="B11" s="20" t="s">
        <v>43</v>
      </c>
      <c r="C11" s="12"/>
      <c r="D11" s="12"/>
      <c r="F11" s="16">
        <v>0.5</v>
      </c>
      <c r="I11" s="22" t="s">
        <v>62</v>
      </c>
      <c r="J11" s="23">
        <v>0.21</v>
      </c>
      <c r="K11" s="14" t="s">
        <v>66</v>
      </c>
      <c r="M11" s="14"/>
    </row>
    <row r="12" spans="1:13" ht="20.25" thickBot="1" x14ac:dyDescent="0.45">
      <c r="A12" s="19"/>
      <c r="B12" s="20"/>
      <c r="C12" s="12"/>
      <c r="D12" s="12"/>
      <c r="F12" s="17"/>
      <c r="J12" s="23">
        <v>2.3E-2</v>
      </c>
      <c r="K12" s="14" t="s">
        <v>65</v>
      </c>
    </row>
    <row r="13" spans="1:13" ht="20.25" thickBot="1" x14ac:dyDescent="0.45">
      <c r="A13" s="19" t="s">
        <v>44</v>
      </c>
      <c r="B13" s="20"/>
      <c r="C13" s="12" t="s">
        <v>45</v>
      </c>
      <c r="D13" s="12"/>
      <c r="F13" s="16">
        <v>0.7</v>
      </c>
      <c r="H13" s="21" t="s">
        <v>64</v>
      </c>
    </row>
    <row r="14" spans="1:13" ht="20.25" thickBot="1" x14ac:dyDescent="0.45">
      <c r="A14" s="19"/>
      <c r="B14" s="20"/>
      <c r="C14" s="12"/>
      <c r="D14" s="12"/>
      <c r="F14" s="17"/>
      <c r="H14" s="131">
        <f>J12+I9</f>
        <v>0.1187</v>
      </c>
      <c r="I14" s="18" t="s">
        <v>67</v>
      </c>
    </row>
    <row r="15" spans="1:13" ht="20.25" thickBot="1" x14ac:dyDescent="0.45">
      <c r="A15" s="19" t="s">
        <v>46</v>
      </c>
      <c r="B15" s="20" t="s">
        <v>43</v>
      </c>
      <c r="C15" s="12"/>
      <c r="D15" s="12"/>
      <c r="F15" s="16">
        <v>0.7</v>
      </c>
      <c r="H15" s="131"/>
    </row>
    <row r="16" spans="1:13" ht="20.25" thickBot="1" x14ac:dyDescent="0.45">
      <c r="A16" s="19"/>
      <c r="B16" s="20"/>
      <c r="C16" s="12"/>
      <c r="D16" s="12"/>
      <c r="F16" s="17"/>
    </row>
    <row r="17" spans="1:6" ht="20.25" thickBot="1" x14ac:dyDescent="0.45">
      <c r="A17" s="19" t="s">
        <v>47</v>
      </c>
      <c r="B17" s="20" t="s">
        <v>48</v>
      </c>
      <c r="C17" s="12"/>
      <c r="D17" s="12"/>
      <c r="F17" s="16">
        <v>0.6</v>
      </c>
    </row>
    <row r="18" spans="1:6" ht="20.25" thickBot="1" x14ac:dyDescent="0.45">
      <c r="A18" s="19"/>
      <c r="B18" s="20"/>
      <c r="C18" s="12"/>
      <c r="D18" s="12"/>
      <c r="F18" s="17"/>
    </row>
    <row r="19" spans="1:6" ht="20.25" thickBot="1" x14ac:dyDescent="0.45">
      <c r="A19" s="19" t="s">
        <v>42</v>
      </c>
      <c r="B19" s="20" t="s">
        <v>49</v>
      </c>
      <c r="C19" s="12"/>
      <c r="D19" s="12"/>
      <c r="F19" s="16">
        <v>0.35</v>
      </c>
    </row>
    <row r="20" spans="1:6" ht="20.25" thickBot="1" x14ac:dyDescent="0.45">
      <c r="A20" s="19"/>
      <c r="B20" s="20" t="s">
        <v>50</v>
      </c>
      <c r="C20" s="12"/>
      <c r="D20" s="12"/>
      <c r="F20" s="16">
        <v>1</v>
      </c>
    </row>
    <row r="21" spans="1:6" ht="20.25" thickBot="1" x14ac:dyDescent="0.45">
      <c r="A21" s="12"/>
      <c r="B21" s="12"/>
      <c r="C21" s="12"/>
      <c r="D21" s="12"/>
      <c r="F21" s="17"/>
    </row>
    <row r="22" spans="1:6" ht="20.25" thickBot="1" x14ac:dyDescent="0.45">
      <c r="A22" s="12" t="s">
        <v>51</v>
      </c>
      <c r="B22" s="12"/>
      <c r="C22" s="12" t="s">
        <v>52</v>
      </c>
      <c r="D22" s="12"/>
      <c r="F22" s="16">
        <v>1</v>
      </c>
    </row>
    <row r="23" spans="1:6" ht="18.75" x14ac:dyDescent="0.4">
      <c r="A23" s="12"/>
      <c r="B23" s="12"/>
      <c r="C23" s="12"/>
      <c r="D23" s="12"/>
      <c r="E23" s="12"/>
      <c r="F23" s="12"/>
    </row>
    <row r="24" spans="1:6" ht="18.75" x14ac:dyDescent="0.4">
      <c r="A24" s="12"/>
      <c r="B24" s="12"/>
      <c r="C24" s="12"/>
      <c r="D24" s="12"/>
      <c r="E24" s="12"/>
      <c r="F24" s="12"/>
    </row>
  </sheetData>
  <mergeCells count="2">
    <mergeCell ref="F5:F6"/>
    <mergeCell ref="H14:H1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FICHA TECNICA</vt:lpstr>
      <vt:lpstr>CONFECCION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Pc</dc:creator>
  <dc:description/>
  <cp:lastModifiedBy>Admin</cp:lastModifiedBy>
  <cp:revision>12</cp:revision>
  <cp:lastPrinted>2025-10-29T20:03:16Z</cp:lastPrinted>
  <dcterms:created xsi:type="dcterms:W3CDTF">2023-10-31T20:19:37Z</dcterms:created>
  <dcterms:modified xsi:type="dcterms:W3CDTF">2025-10-29T20:59:28Z</dcterms:modified>
  <dc:language>es-MX</dc:language>
</cp:coreProperties>
</file>