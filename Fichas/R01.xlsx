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RHONDA SHEAR\R01 The Original Ahh Bra (9588)\"/>
    </mc:Choice>
  </mc:AlternateContent>
  <xr:revisionPtr revIDLastSave="0" documentId="13_ncr:1_{935C3A36-DE99-4305-B269-9E053B7D276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7" i="1" l="1"/>
  <c r="P47" i="1"/>
  <c r="P14" i="1"/>
  <c r="M14" i="1"/>
  <c r="M47" i="1"/>
  <c r="J47" i="1"/>
</calcChain>
</file>

<file path=xl/sharedStrings.xml><?xml version="1.0" encoding="utf-8"?>
<sst xmlns="http://schemas.openxmlformats.org/spreadsheetml/2006/main" count="145" uniqueCount="50">
  <si>
    <t xml:space="preserve"> </t>
  </si>
  <si>
    <t>FOTO MUESTRA</t>
  </si>
  <si>
    <t>DESCRIPCIÓN</t>
  </si>
  <si>
    <t>PIEZA: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</si>
  <si>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</si>
  <si>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</si>
  <si>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</si>
  <si>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</si>
  <si>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</si>
  <si>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</si>
  <si>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</si>
  <si>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</si>
  <si>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</si>
  <si>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</si>
  <si>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</si>
  <si>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</si>
  <si>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NYLON</t>
  </si>
  <si>
    <t>#2</t>
  </si>
  <si>
    <t>#3</t>
  </si>
  <si>
    <t>TOP2V</t>
  </si>
  <si>
    <t>#6</t>
  </si>
  <si>
    <t>LICRA DESNUDA</t>
  </si>
  <si>
    <t>#2 Y #6</t>
  </si>
  <si>
    <t>PESO+10%:</t>
  </si>
  <si>
    <t>TALLA:</t>
  </si>
  <si>
    <t>CH</t>
  </si>
  <si>
    <t>M</t>
  </si>
  <si>
    <t>GR</t>
  </si>
  <si>
    <t>XG</t>
  </si>
  <si>
    <t>CIXING</t>
  </si>
  <si>
    <t>#5</t>
  </si>
  <si>
    <t>TOP2</t>
  </si>
  <si>
    <t>X1</t>
  </si>
  <si>
    <t>X2</t>
  </si>
  <si>
    <t>X3</t>
  </si>
  <si>
    <t>LICRA PARIS</t>
  </si>
  <si>
    <t>20/33/34</t>
  </si>
  <si>
    <t>The Original Ahh Bra (9588)</t>
  </si>
  <si>
    <t>BRA</t>
  </si>
  <si>
    <r>
      <t>R01</t>
    </r>
    <r>
      <rPr>
        <u/>
        <sz val="24"/>
        <rFont val="Consolas"/>
        <family val="3"/>
      </rPr>
      <t>B</t>
    </r>
    <r>
      <rPr>
        <b/>
        <sz val="20"/>
        <rFont val="Consolas"/>
        <family val="3"/>
      </rPr>
      <t>39</t>
    </r>
    <r>
      <rPr>
        <u/>
        <sz val="24"/>
        <rFont val="Consolas"/>
        <family val="3"/>
      </rPr>
      <t>X3</t>
    </r>
  </si>
  <si>
    <r>
      <t>R01</t>
    </r>
    <r>
      <rPr>
        <u/>
        <sz val="24"/>
        <rFont val="Consolas"/>
        <family val="3"/>
      </rPr>
      <t>B</t>
    </r>
    <r>
      <rPr>
        <b/>
        <sz val="20"/>
        <rFont val="Consolas"/>
        <family val="3"/>
      </rPr>
      <t>39</t>
    </r>
    <r>
      <rPr>
        <u/>
        <sz val="24"/>
        <rFont val="Consolas"/>
        <family val="3"/>
      </rPr>
      <t>X2</t>
    </r>
  </si>
  <si>
    <r>
      <t>R01</t>
    </r>
    <r>
      <rPr>
        <u/>
        <sz val="24"/>
        <rFont val="Consolas"/>
        <family val="3"/>
      </rPr>
      <t>B</t>
    </r>
    <r>
      <rPr>
        <b/>
        <sz val="20"/>
        <rFont val="Consolas"/>
        <family val="3"/>
      </rPr>
      <t>38</t>
    </r>
    <r>
      <rPr>
        <u/>
        <sz val="24"/>
        <rFont val="Consolas"/>
        <family val="3"/>
      </rPr>
      <t>X1</t>
    </r>
  </si>
  <si>
    <r>
      <t>R01</t>
    </r>
    <r>
      <rPr>
        <u/>
        <sz val="24"/>
        <rFont val="Consolas"/>
        <family val="3"/>
      </rPr>
      <t>B</t>
    </r>
    <r>
      <rPr>
        <b/>
        <sz val="20"/>
        <rFont val="Consolas"/>
        <family val="3"/>
      </rPr>
      <t>38</t>
    </r>
    <r>
      <rPr>
        <u/>
        <sz val="24"/>
        <rFont val="Consolas"/>
        <family val="3"/>
      </rPr>
      <t>XG</t>
    </r>
  </si>
  <si>
    <r>
      <t xml:space="preserve">Nota importante: </t>
    </r>
    <r>
      <rPr>
        <i/>
        <u/>
        <sz val="18"/>
        <rFont val="Consolas"/>
        <family val="3"/>
      </rPr>
      <t>La licra Paris usada en estas muestras</t>
    </r>
    <r>
      <rPr>
        <b/>
        <sz val="18"/>
        <rFont val="Consolas"/>
        <family val="3"/>
      </rPr>
      <t xml:space="preserve"> se hizo antes del </t>
    </r>
    <r>
      <rPr>
        <i/>
        <u/>
        <sz val="18"/>
        <rFont val="Consolas"/>
        <family val="3"/>
      </rPr>
      <t>cambio a la licra desnuda 20D actual</t>
    </r>
    <r>
      <rPr>
        <b/>
        <sz val="18"/>
        <rFont val="Consolas"/>
        <family val="3"/>
      </rPr>
      <t xml:space="preserve">, al cambiar de licra desnuda la </t>
    </r>
    <r>
      <rPr>
        <i/>
        <u/>
        <sz val="18"/>
        <rFont val="Consolas"/>
        <family val="3"/>
      </rPr>
      <t>Dubai y Texas</t>
    </r>
    <r>
      <rPr>
        <b/>
        <sz val="18"/>
        <rFont val="Consolas"/>
        <family val="3"/>
      </rPr>
      <t xml:space="preserve"> que tienen </t>
    </r>
    <r>
      <rPr>
        <i/>
        <u/>
        <sz val="18"/>
        <rFont val="Consolas"/>
        <family val="3"/>
      </rPr>
      <t>2050</t>
    </r>
    <r>
      <rPr>
        <b/>
        <sz val="18"/>
        <rFont val="Consolas"/>
        <family val="3"/>
      </rPr>
      <t xml:space="preserve"> se cambiaron por la </t>
    </r>
    <r>
      <rPr>
        <i/>
        <u/>
        <sz val="18"/>
        <rFont val="Consolas"/>
        <family val="3"/>
      </rPr>
      <t>Yuki y Miami</t>
    </r>
    <r>
      <rPr>
        <b/>
        <sz val="18"/>
        <rFont val="Consolas"/>
        <family val="3"/>
      </rPr>
      <t xml:space="preserve"> con </t>
    </r>
    <r>
      <rPr>
        <i/>
        <u/>
        <sz val="18"/>
        <rFont val="Consolas"/>
        <family val="3"/>
      </rPr>
      <t>1800</t>
    </r>
    <r>
      <rPr>
        <b/>
        <sz val="18"/>
        <rFont val="Consolas"/>
        <family val="3"/>
      </rPr>
      <t xml:space="preserve"> </t>
    </r>
  </si>
  <si>
    <t>XC</t>
  </si>
  <si>
    <r>
      <t>R01</t>
    </r>
    <r>
      <rPr>
        <u/>
        <sz val="24"/>
        <rFont val="Consolas"/>
        <family val="3"/>
      </rPr>
      <t>B</t>
    </r>
    <r>
      <rPr>
        <b/>
        <sz val="20"/>
        <rFont val="Consolas"/>
        <family val="3"/>
      </rPr>
      <t>08</t>
    </r>
    <r>
      <rPr>
        <u/>
        <sz val="24"/>
        <rFont val="Consolas"/>
        <family val="3"/>
      </rPr>
      <t>XC</t>
    </r>
  </si>
  <si>
    <r>
      <t>R01</t>
    </r>
    <r>
      <rPr>
        <u/>
        <sz val="24"/>
        <rFont val="Consolas"/>
        <family val="3"/>
      </rPr>
      <t>B</t>
    </r>
    <r>
      <rPr>
        <b/>
        <sz val="20"/>
        <rFont val="Consolas"/>
        <family val="3"/>
      </rPr>
      <t>08</t>
    </r>
    <r>
      <rPr>
        <u/>
        <sz val="24"/>
        <rFont val="Consolas"/>
        <family val="3"/>
      </rPr>
      <t>CH</t>
    </r>
  </si>
  <si>
    <r>
      <t>R01</t>
    </r>
    <r>
      <rPr>
        <u/>
        <sz val="24"/>
        <rFont val="Consolas"/>
        <family val="3"/>
      </rPr>
      <t>B</t>
    </r>
    <r>
      <rPr>
        <b/>
        <sz val="20"/>
        <rFont val="Consolas"/>
        <family val="3"/>
      </rPr>
      <t>30</t>
    </r>
    <r>
      <rPr>
        <u/>
        <sz val="24"/>
        <rFont val="Consolas"/>
        <family val="3"/>
      </rPr>
      <t>G</t>
    </r>
  </si>
  <si>
    <r>
      <t>R01</t>
    </r>
    <r>
      <rPr>
        <u/>
        <sz val="24"/>
        <rFont val="Consolas"/>
        <family val="3"/>
      </rPr>
      <t>B</t>
    </r>
    <r>
      <rPr>
        <b/>
        <sz val="20"/>
        <rFont val="Consolas"/>
        <family val="3"/>
      </rPr>
      <t>30</t>
    </r>
    <r>
      <rPr>
        <u/>
        <sz val="24"/>
        <rFont val="Consolas"/>
        <family val="3"/>
      </rPr>
      <t>M</t>
    </r>
  </si>
  <si>
    <t xml:space="preserve">ktf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</si>
</sst>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sz val="8"/>
      <name val="Calibri"/>
      <family val="2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1"/>
      <color theme="1"/>
      <name val="Calibri"/>
      <family val="2"/>
    </font>
    <font>
      <b/>
      <sz val="12"/>
      <color rgb="FFFFFF00"/>
      <name val="Consolas"/>
      <family val="3"/>
    </font>
    <font>
      <b/>
      <sz val="20"/>
      <color theme="1"/>
      <name val="Consolas"/>
      <family val="3"/>
    </font>
    <font>
      <b/>
      <sz val="16"/>
      <name val="Consolas"/>
      <family val="3"/>
    </font>
    <font>
      <b/>
      <sz val="14"/>
      <color theme="1"/>
      <name val="Consolas"/>
      <family val="3"/>
    </font>
    <font>
      <b/>
      <sz val="26"/>
      <name val="Consolas"/>
      <family val="3"/>
    </font>
    <font>
      <b/>
      <sz val="12"/>
      <name val="Consolas"/>
      <family val="3"/>
    </font>
    <font>
      <b/>
      <sz val="26"/>
      <color rgb="FF000000"/>
      <name val="Consolas"/>
      <family val="3"/>
    </font>
    <font>
      <b/>
      <sz val="22"/>
      <color theme="0"/>
      <name val="Consolas"/>
      <family val="3"/>
    </font>
    <font>
      <b/>
      <sz val="24"/>
      <color theme="0"/>
      <name val="Consolas"/>
      <family val="3"/>
    </font>
    <font>
      <b/>
      <sz val="20"/>
      <name val="Consolas"/>
      <family val="3"/>
    </font>
    <font>
      <u/>
      <sz val="24"/>
      <name val="Consolas"/>
      <family val="3"/>
    </font>
    <font>
      <i/>
      <u/>
      <sz val="18"/>
      <name val="Consolas"/>
      <family val="3"/>
    </font>
    <font>
      <b/>
      <sz val="9"/>
      <name val="Consolas"/>
      <family val="3"/>
    </font>
  </fonts>
  <fills count="16">
    <fill>
      <patternFill patternType="none"/>
    </fill>
    <fill>
      <patternFill patternType="gray125"/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mediumGray">
        <fgColor rgb="FFFFFFCC"/>
        <bgColor theme="8" tint="0.79998168889431442"/>
      </patternFill>
    </fill>
    <fill>
      <patternFill patternType="mediumGray">
        <fgColor rgb="FFFFFFCC"/>
        <bgColor theme="9" tint="0.59999389629810485"/>
      </patternFill>
    </fill>
    <fill>
      <patternFill patternType="mediumGray">
        <fgColor rgb="FFFFFFCC"/>
        <bgColor theme="5" tint="0.59999389629810485"/>
      </patternFill>
    </fill>
    <fill>
      <patternFill patternType="solid">
        <fgColor theme="0" tint="-4.9989318521683403E-2"/>
        <bgColor rgb="FFFFFFCC"/>
      </patternFill>
    </fill>
    <fill>
      <patternFill patternType="mediumGray">
        <fgColor rgb="FFFFFFCC"/>
        <bgColor theme="4" tint="0.79998168889431442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12" fillId="0" borderId="0" applyFont="0" applyFill="0" applyBorder="0" applyAlignment="0" applyProtection="0"/>
  </cellStyleXfs>
  <cellXfs count="220">
    <xf numFmtId="0" fontId="0" fillId="0" borderId="0" xfId="0"/>
    <xf numFmtId="0" fontId="0" fillId="0" borderId="0" xfId="0"/>
    <xf numFmtId="0" fontId="1" fillId="0" borderId="0" xfId="0" applyFont="1"/>
    <xf numFmtId="0" fontId="11" fillId="11" borderId="13" xfId="0" applyFont="1" applyFill="1" applyBorder="1" applyAlignment="1">
      <alignment horizontal="center" vertical="center" wrapText="1"/>
    </xf>
    <xf numFmtId="0" fontId="11" fillId="11" borderId="14" xfId="0" applyFont="1" applyFill="1" applyBorder="1" applyAlignment="1">
      <alignment horizontal="center" vertical="center" wrapText="1"/>
    </xf>
    <xf numFmtId="49" fontId="11" fillId="11" borderId="12" xfId="0" applyNumberFormat="1" applyFont="1" applyFill="1" applyBorder="1" applyAlignment="1">
      <alignment horizontal="center" vertical="center" wrapText="1"/>
    </xf>
    <xf numFmtId="49" fontId="11" fillId="11" borderId="2" xfId="0" applyNumberFormat="1" applyFont="1" applyFill="1" applyBorder="1" applyAlignment="1">
      <alignment horizontal="center" vertical="center" wrapText="1"/>
    </xf>
    <xf numFmtId="49" fontId="11" fillId="11" borderId="7" xfId="0" applyNumberFormat="1" applyFont="1" applyFill="1" applyBorder="1" applyAlignment="1">
      <alignment horizontal="center" vertical="center" wrapText="1"/>
    </xf>
    <xf numFmtId="49" fontId="11" fillId="11" borderId="4" xfId="0" applyNumberFormat="1" applyFont="1" applyFill="1" applyBorder="1" applyAlignment="1">
      <alignment horizontal="center" vertical="center" wrapText="1"/>
    </xf>
    <xf numFmtId="9" fontId="8" fillId="12" borderId="5" xfId="3" applyFont="1" applyFill="1" applyBorder="1" applyAlignment="1">
      <alignment horizontal="left" vertical="top" wrapText="1"/>
    </xf>
    <xf numFmtId="9" fontId="8" fillId="12" borderId="1" xfId="3" applyFont="1" applyFill="1" applyBorder="1" applyAlignment="1">
      <alignment horizontal="left" vertical="top" wrapText="1"/>
    </xf>
    <xf numFmtId="9" fontId="8" fillId="12" borderId="2" xfId="3" applyFont="1" applyFill="1" applyBorder="1" applyAlignment="1">
      <alignment horizontal="left" vertical="top" wrapText="1"/>
    </xf>
    <xf numFmtId="9" fontId="8" fillId="12" borderId="10" xfId="3" applyFont="1" applyFill="1" applyBorder="1" applyAlignment="1">
      <alignment horizontal="left" vertical="top" wrapText="1"/>
    </xf>
    <xf numFmtId="9" fontId="8" fillId="12" borderId="0" xfId="3" applyFont="1" applyFill="1" applyBorder="1" applyAlignment="1">
      <alignment horizontal="left" vertical="top" wrapText="1"/>
    </xf>
    <xf numFmtId="9" fontId="8" fillId="12" borderId="11" xfId="3" applyFont="1" applyFill="1" applyBorder="1" applyAlignment="1">
      <alignment horizontal="left" vertical="top" wrapText="1"/>
    </xf>
    <xf numFmtId="9" fontId="8" fillId="12" borderId="6" xfId="3" applyFont="1" applyFill="1" applyBorder="1" applyAlignment="1">
      <alignment horizontal="left" vertical="top" wrapText="1"/>
    </xf>
    <xf numFmtId="9" fontId="8" fillId="12" borderId="3" xfId="3" applyFont="1" applyFill="1" applyBorder="1" applyAlignment="1">
      <alignment horizontal="left" vertical="top" wrapText="1"/>
    </xf>
    <xf numFmtId="9" fontId="8" fillId="12" borderId="4" xfId="3" applyFont="1" applyFill="1" applyBorder="1" applyAlignment="1">
      <alignment horizontal="left" vertical="top" wrapText="1"/>
    </xf>
    <xf numFmtId="0" fontId="20" fillId="8" borderId="5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center" vertical="center" wrapText="1"/>
    </xf>
    <xf numFmtId="0" fontId="20" fillId="8" borderId="6" xfId="0" applyFont="1" applyFill="1" applyBorder="1" applyAlignment="1">
      <alignment horizontal="center" vertical="center" wrapText="1"/>
    </xf>
    <xf numFmtId="0" fontId="20" fillId="8" borderId="3" xfId="0" applyFont="1" applyFill="1" applyBorder="1" applyAlignment="1">
      <alignment horizontal="center" vertical="center" wrapText="1"/>
    </xf>
    <xf numFmtId="0" fontId="20" fillId="8" borderId="4" xfId="0" applyFont="1" applyFill="1" applyBorder="1" applyAlignment="1">
      <alignment horizontal="center" vertical="center" wrapText="1"/>
    </xf>
    <xf numFmtId="0" fontId="22" fillId="11" borderId="5" xfId="0" applyFont="1" applyFill="1" applyBorder="1" applyAlignment="1">
      <alignment horizontal="center" vertical="center" wrapText="1"/>
    </xf>
    <xf numFmtId="0" fontId="22" fillId="11" borderId="1" xfId="0" applyFont="1" applyFill="1" applyBorder="1" applyAlignment="1">
      <alignment horizontal="center" vertical="center" wrapText="1"/>
    </xf>
    <xf numFmtId="0" fontId="22" fillId="11" borderId="2" xfId="0" applyFont="1" applyFill="1" applyBorder="1" applyAlignment="1">
      <alignment horizontal="center" vertical="center" wrapText="1"/>
    </xf>
    <xf numFmtId="0" fontId="22" fillId="11" borderId="6" xfId="0" applyFont="1" applyFill="1" applyBorder="1" applyAlignment="1">
      <alignment horizontal="center" vertical="center" wrapText="1"/>
    </xf>
    <xf numFmtId="0" fontId="22" fillId="11" borderId="3" xfId="0" applyFont="1" applyFill="1" applyBorder="1" applyAlignment="1">
      <alignment horizontal="center" vertical="center" wrapText="1"/>
    </xf>
    <xf numFmtId="0" fontId="22" fillId="11" borderId="4" xfId="0" applyFont="1" applyFill="1" applyBorder="1" applyAlignment="1">
      <alignment horizontal="center" vertical="center" wrapText="1"/>
    </xf>
    <xf numFmtId="164" fontId="15" fillId="0" borderId="5" xfId="0" applyNumberFormat="1" applyFont="1" applyFill="1" applyBorder="1" applyAlignment="1">
      <alignment horizontal="center" vertical="center" wrapText="1"/>
    </xf>
    <xf numFmtId="164" fontId="15" fillId="0" borderId="1" xfId="0" applyNumberFormat="1" applyFont="1" applyFill="1" applyBorder="1" applyAlignment="1">
      <alignment horizontal="center" vertical="center" wrapText="1"/>
    </xf>
    <xf numFmtId="164" fontId="15" fillId="0" borderId="6" xfId="0" applyNumberFormat="1" applyFont="1" applyFill="1" applyBorder="1" applyAlignment="1">
      <alignment horizontal="center" vertical="center" wrapText="1"/>
    </xf>
    <xf numFmtId="164" fontId="15" fillId="0" borderId="3" xfId="0" applyNumberFormat="1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45" fontId="15" fillId="0" borderId="5" xfId="0" applyNumberFormat="1" applyFont="1" applyFill="1" applyBorder="1" applyAlignment="1">
      <alignment horizontal="center" vertical="center" wrapText="1"/>
    </xf>
    <xf numFmtId="45" fontId="15" fillId="0" borderId="1" xfId="0" applyNumberFormat="1" applyFont="1" applyFill="1" applyBorder="1" applyAlignment="1">
      <alignment horizontal="center" vertical="center" wrapText="1"/>
    </xf>
    <xf numFmtId="45" fontId="15" fillId="0" borderId="6" xfId="0" applyNumberFormat="1" applyFont="1" applyFill="1" applyBorder="1" applyAlignment="1">
      <alignment horizontal="center" vertical="center" wrapText="1"/>
    </xf>
    <xf numFmtId="45" fontId="15" fillId="0" borderId="3" xfId="0" applyNumberFormat="1" applyFont="1" applyFill="1" applyBorder="1" applyAlignment="1">
      <alignment horizontal="center" vertical="center" wrapText="1"/>
    </xf>
    <xf numFmtId="46" fontId="18" fillId="0" borderId="2" xfId="0" applyNumberFormat="1" applyFont="1" applyFill="1" applyBorder="1" applyAlignment="1">
      <alignment horizontal="center" vertical="center" wrapText="1"/>
    </xf>
    <xf numFmtId="46" fontId="18" fillId="0" borderId="4" xfId="0" applyNumberFormat="1" applyFont="1" applyFill="1" applyBorder="1" applyAlignment="1">
      <alignment horizontal="center" vertical="center" wrapText="1"/>
    </xf>
    <xf numFmtId="0" fontId="21" fillId="8" borderId="5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21" fillId="8" borderId="2" xfId="0" applyFont="1" applyFill="1" applyBorder="1" applyAlignment="1">
      <alignment horizontal="center" vertical="center" wrapText="1"/>
    </xf>
    <xf numFmtId="0" fontId="21" fillId="8" borderId="6" xfId="0" applyFont="1" applyFill="1" applyBorder="1" applyAlignment="1">
      <alignment horizontal="center" vertical="center" wrapText="1"/>
    </xf>
    <xf numFmtId="0" fontId="21" fillId="8" borderId="3" xfId="0" applyFont="1" applyFill="1" applyBorder="1" applyAlignment="1">
      <alignment horizontal="center" vertical="center" wrapText="1"/>
    </xf>
    <xf numFmtId="0" fontId="21" fillId="8" borderId="4" xfId="0" applyFont="1" applyFill="1" applyBorder="1" applyAlignment="1">
      <alignment horizontal="center" vertical="center" wrapText="1"/>
    </xf>
    <xf numFmtId="0" fontId="8" fillId="11" borderId="13" xfId="0" applyFont="1" applyFill="1" applyBorder="1" applyAlignment="1">
      <alignment horizontal="center" vertical="center" wrapText="1"/>
    </xf>
    <xf numFmtId="0" fontId="8" fillId="11" borderId="14" xfId="0" applyFont="1" applyFill="1" applyBorder="1" applyAlignment="1">
      <alignment horizontal="center" vertical="center" wrapText="1"/>
    </xf>
    <xf numFmtId="0" fontId="11" fillId="11" borderId="12" xfId="0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center" vertical="center" wrapText="1"/>
    </xf>
    <xf numFmtId="0" fontId="11" fillId="11" borderId="7" xfId="0" applyFont="1" applyFill="1" applyBorder="1" applyAlignment="1">
      <alignment horizontal="center" vertical="center" wrapText="1"/>
    </xf>
    <xf numFmtId="0" fontId="11" fillId="11" borderId="4" xfId="0" applyFont="1" applyFill="1" applyBorder="1" applyAlignment="1">
      <alignment horizontal="center" vertical="center" wrapText="1"/>
    </xf>
    <xf numFmtId="0" fontId="16" fillId="0" borderId="7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9" fontId="7" fillId="5" borderId="5" xfId="3" applyFont="1" applyFill="1" applyBorder="1" applyAlignment="1">
      <alignment horizontal="center" vertical="center" wrapText="1"/>
    </xf>
    <xf numFmtId="9" fontId="7" fillId="5" borderId="8" xfId="3" applyFont="1" applyFill="1" applyBorder="1" applyAlignment="1">
      <alignment horizontal="center" vertical="center" wrapText="1"/>
    </xf>
    <xf numFmtId="9" fontId="7" fillId="5" borderId="6" xfId="3" applyFont="1" applyFill="1" applyBorder="1" applyAlignment="1">
      <alignment horizontal="center" vertical="center" wrapText="1"/>
    </xf>
    <xf numFmtId="9" fontId="7" fillId="5" borderId="9" xfId="3" applyFont="1" applyFill="1" applyBorder="1" applyAlignment="1">
      <alignment horizontal="center" vertical="center" wrapText="1"/>
    </xf>
    <xf numFmtId="0" fontId="16" fillId="0" borderId="12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0" fontId="11" fillId="10" borderId="13" xfId="0" applyFont="1" applyFill="1" applyBorder="1" applyAlignment="1">
      <alignment horizontal="center" vertical="center" wrapText="1"/>
    </xf>
    <xf numFmtId="0" fontId="11" fillId="10" borderId="14" xfId="0" applyFont="1" applyFill="1" applyBorder="1" applyAlignment="1">
      <alignment horizontal="center" vertical="center" wrapText="1"/>
    </xf>
    <xf numFmtId="49" fontId="11" fillId="10" borderId="12" xfId="0" applyNumberFormat="1" applyFont="1" applyFill="1" applyBorder="1" applyAlignment="1">
      <alignment horizontal="center" vertical="center" wrapText="1"/>
    </xf>
    <xf numFmtId="49" fontId="11" fillId="10" borderId="2" xfId="0" applyNumberFormat="1" applyFont="1" applyFill="1" applyBorder="1" applyAlignment="1">
      <alignment horizontal="center" vertical="center" wrapText="1"/>
    </xf>
    <xf numFmtId="49" fontId="11" fillId="10" borderId="7" xfId="0" applyNumberFormat="1" applyFont="1" applyFill="1" applyBorder="1" applyAlignment="1">
      <alignment horizontal="center" vertical="center" wrapText="1"/>
    </xf>
    <xf numFmtId="49" fontId="11" fillId="10" borderId="4" xfId="0" applyNumberFormat="1" applyFont="1" applyFill="1" applyBorder="1" applyAlignment="1">
      <alignment horizontal="center" vertical="center" wrapText="1"/>
    </xf>
    <xf numFmtId="0" fontId="11" fillId="10" borderId="1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11" fillId="10" borderId="7" xfId="0" applyFont="1" applyFill="1" applyBorder="1" applyAlignment="1">
      <alignment horizontal="center" vertical="center" wrapText="1"/>
    </xf>
    <xf numFmtId="0" fontId="11" fillId="10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21" fillId="7" borderId="5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0" fontId="21" fillId="7" borderId="6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14" fillId="0" borderId="12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right" vertical="center" wrapText="1"/>
    </xf>
    <xf numFmtId="0" fontId="13" fillId="2" borderId="2" xfId="0" applyFont="1" applyFill="1" applyBorder="1" applyAlignment="1">
      <alignment horizontal="right" vertical="center" wrapText="1"/>
    </xf>
    <xf numFmtId="0" fontId="13" fillId="2" borderId="6" xfId="0" applyFont="1" applyFill="1" applyBorder="1" applyAlignment="1">
      <alignment horizontal="right" vertical="center" wrapText="1"/>
    </xf>
    <xf numFmtId="0" fontId="13" fillId="2" borderId="4" xfId="0" applyFont="1" applyFill="1" applyBorder="1" applyAlignment="1">
      <alignment horizontal="right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9" fillId="0" borderId="5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19" fillId="0" borderId="2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 wrapText="1"/>
    </xf>
    <xf numFmtId="0" fontId="19" fillId="0" borderId="6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 wrapText="1"/>
    </xf>
    <xf numFmtId="0" fontId="19" fillId="0" borderId="4" xfId="0" applyFont="1" applyFill="1" applyBorder="1" applyAlignment="1">
      <alignment horizontal="center" vertical="center" wrapText="1"/>
    </xf>
    <xf numFmtId="0" fontId="20" fillId="7" borderId="5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 wrapText="1"/>
    </xf>
    <xf numFmtId="0" fontId="20" fillId="7" borderId="6" xfId="0" applyFont="1" applyFill="1" applyBorder="1" applyAlignment="1">
      <alignment horizontal="center" vertical="center" wrapText="1"/>
    </xf>
    <xf numFmtId="0" fontId="20" fillId="7" borderId="3" xfId="0" applyFont="1" applyFill="1" applyBorder="1" applyAlignment="1">
      <alignment horizontal="center" vertical="center" wrapText="1"/>
    </xf>
    <xf numFmtId="0" fontId="20" fillId="7" borderId="4" xfId="0" applyFont="1" applyFill="1" applyBorder="1" applyAlignment="1">
      <alignment horizontal="center" vertical="center" wrapText="1"/>
    </xf>
    <xf numFmtId="0" fontId="17" fillId="0" borderId="5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right" vertical="center"/>
    </xf>
    <xf numFmtId="0" fontId="13" fillId="2" borderId="2" xfId="0" applyFont="1" applyFill="1" applyBorder="1" applyAlignment="1">
      <alignment horizontal="right" vertical="center"/>
    </xf>
    <xf numFmtId="0" fontId="13" fillId="2" borderId="6" xfId="0" applyFont="1" applyFill="1" applyBorder="1" applyAlignment="1">
      <alignment horizontal="right" vertical="center"/>
    </xf>
    <xf numFmtId="0" fontId="13" fillId="2" borderId="4" xfId="0" applyFont="1" applyFill="1" applyBorder="1" applyAlignment="1">
      <alignment horizontal="right" vertical="center"/>
    </xf>
    <xf numFmtId="0" fontId="22" fillId="10" borderId="5" xfId="0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center" vertical="center" wrapText="1"/>
    </xf>
    <xf numFmtId="0" fontId="22" fillId="10" borderId="2" xfId="0" applyFont="1" applyFill="1" applyBorder="1" applyAlignment="1">
      <alignment horizontal="center" vertical="center" wrapText="1"/>
    </xf>
    <xf numFmtId="0" fontId="22" fillId="10" borderId="6" xfId="0" applyFont="1" applyFill="1" applyBorder="1" applyAlignment="1">
      <alignment horizontal="center" vertical="center" wrapText="1"/>
    </xf>
    <xf numFmtId="0" fontId="22" fillId="10" borderId="3" xfId="0" applyFont="1" applyFill="1" applyBorder="1" applyAlignment="1">
      <alignment horizontal="center" vertical="center" wrapText="1"/>
    </xf>
    <xf numFmtId="0" fontId="22" fillId="10" borderId="4" xfId="0" applyFont="1" applyFill="1" applyBorder="1" applyAlignment="1">
      <alignment horizontal="center" vertical="center" wrapText="1"/>
    </xf>
    <xf numFmtId="0" fontId="11" fillId="9" borderId="12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11" fillId="9" borderId="7" xfId="0" applyFont="1" applyFill="1" applyBorder="1" applyAlignment="1">
      <alignment horizontal="center" vertical="center" wrapText="1"/>
    </xf>
    <xf numFmtId="0" fontId="11" fillId="9" borderId="4" xfId="0" applyFont="1" applyFill="1" applyBorder="1" applyAlignment="1">
      <alignment horizontal="center" vertical="center" wrapText="1"/>
    </xf>
    <xf numFmtId="0" fontId="21" fillId="15" borderId="5" xfId="0" applyFont="1" applyFill="1" applyBorder="1" applyAlignment="1">
      <alignment horizontal="center" vertical="center" wrapText="1"/>
    </xf>
    <xf numFmtId="0" fontId="21" fillId="15" borderId="1" xfId="0" applyFont="1" applyFill="1" applyBorder="1" applyAlignment="1">
      <alignment horizontal="center" vertical="center" wrapText="1"/>
    </xf>
    <xf numFmtId="0" fontId="21" fillId="15" borderId="2" xfId="0" applyFont="1" applyFill="1" applyBorder="1" applyAlignment="1">
      <alignment horizontal="center" vertical="center" wrapText="1"/>
    </xf>
    <xf numFmtId="0" fontId="21" fillId="15" borderId="6" xfId="0" applyFont="1" applyFill="1" applyBorder="1" applyAlignment="1">
      <alignment horizontal="center" vertical="center" wrapText="1"/>
    </xf>
    <xf numFmtId="0" fontId="21" fillId="15" borderId="3" xfId="0" applyFont="1" applyFill="1" applyBorder="1" applyAlignment="1">
      <alignment horizontal="center" vertical="center" wrapText="1"/>
    </xf>
    <xf numFmtId="0" fontId="21" fillId="15" borderId="4" xfId="0" applyFont="1" applyFill="1" applyBorder="1" applyAlignment="1">
      <alignment horizontal="center" vertical="center" wrapText="1"/>
    </xf>
    <xf numFmtId="0" fontId="8" fillId="9" borderId="13" xfId="0" applyFont="1" applyFill="1" applyBorder="1" applyAlignment="1">
      <alignment horizontal="center" vertical="center" wrapText="1"/>
    </xf>
    <xf numFmtId="0" fontId="8" fillId="9" borderId="14" xfId="0" applyFont="1" applyFill="1" applyBorder="1" applyAlignment="1">
      <alignment horizontal="center" vertical="center" wrapText="1"/>
    </xf>
    <xf numFmtId="0" fontId="11" fillId="9" borderId="13" xfId="0" applyFont="1" applyFill="1" applyBorder="1" applyAlignment="1">
      <alignment horizontal="center" vertical="center" wrapText="1"/>
    </xf>
    <xf numFmtId="0" fontId="11" fillId="9" borderId="14" xfId="0" applyFont="1" applyFill="1" applyBorder="1" applyAlignment="1">
      <alignment horizontal="center" vertical="center" wrapText="1"/>
    </xf>
    <xf numFmtId="49" fontId="11" fillId="9" borderId="12" xfId="0" applyNumberFormat="1" applyFont="1" applyFill="1" applyBorder="1" applyAlignment="1">
      <alignment horizontal="center" vertical="center" wrapText="1"/>
    </xf>
    <xf numFmtId="49" fontId="11" fillId="9" borderId="2" xfId="0" applyNumberFormat="1" applyFont="1" applyFill="1" applyBorder="1" applyAlignment="1">
      <alignment horizontal="center" vertical="center" wrapText="1"/>
    </xf>
    <xf numFmtId="49" fontId="11" fillId="9" borderId="7" xfId="0" applyNumberFormat="1" applyFont="1" applyFill="1" applyBorder="1" applyAlignment="1">
      <alignment horizontal="center" vertical="center" wrapText="1"/>
    </xf>
    <xf numFmtId="49" fontId="11" fillId="9" borderId="4" xfId="0" applyNumberFormat="1" applyFont="1" applyFill="1" applyBorder="1" applyAlignment="1">
      <alignment horizontal="center" vertical="center" wrapText="1"/>
    </xf>
    <xf numFmtId="0" fontId="22" fillId="9" borderId="5" xfId="0" applyFont="1" applyFill="1" applyBorder="1" applyAlignment="1">
      <alignment horizontal="center" vertical="center" wrapText="1"/>
    </xf>
    <xf numFmtId="0" fontId="22" fillId="9" borderId="1" xfId="0" applyFont="1" applyFill="1" applyBorder="1" applyAlignment="1">
      <alignment horizontal="center" vertical="center" wrapText="1"/>
    </xf>
    <xf numFmtId="0" fontId="22" fillId="9" borderId="2" xfId="0" applyFont="1" applyFill="1" applyBorder="1" applyAlignment="1">
      <alignment horizontal="center" vertical="center" wrapText="1"/>
    </xf>
    <xf numFmtId="0" fontId="22" fillId="9" borderId="6" xfId="0" applyFont="1" applyFill="1" applyBorder="1" applyAlignment="1">
      <alignment horizontal="center" vertical="center" wrapText="1"/>
    </xf>
    <xf numFmtId="0" fontId="22" fillId="9" borderId="3" xfId="0" applyFont="1" applyFill="1" applyBorder="1" applyAlignment="1">
      <alignment horizontal="center" vertical="center" wrapText="1"/>
    </xf>
    <xf numFmtId="0" fontId="22" fillId="9" borderId="4" xfId="0" applyFont="1" applyFill="1" applyBorder="1" applyAlignment="1">
      <alignment horizontal="center" vertical="center" wrapText="1"/>
    </xf>
    <xf numFmtId="0" fontId="20" fillId="14" borderId="5" xfId="0" applyFont="1" applyFill="1" applyBorder="1" applyAlignment="1">
      <alignment horizontal="center" vertical="center" wrapText="1"/>
    </xf>
    <xf numFmtId="0" fontId="20" fillId="14" borderId="1" xfId="0" applyFont="1" applyFill="1" applyBorder="1" applyAlignment="1">
      <alignment horizontal="center" vertical="center" wrapText="1"/>
    </xf>
    <xf numFmtId="0" fontId="20" fillId="14" borderId="2" xfId="0" applyFont="1" applyFill="1" applyBorder="1" applyAlignment="1">
      <alignment horizontal="center" vertical="center" wrapText="1"/>
    </xf>
    <xf numFmtId="0" fontId="20" fillId="14" borderId="6" xfId="0" applyFont="1" applyFill="1" applyBorder="1" applyAlignment="1">
      <alignment horizontal="center" vertical="center" wrapText="1"/>
    </xf>
    <xf numFmtId="0" fontId="20" fillId="14" borderId="3" xfId="0" applyFont="1" applyFill="1" applyBorder="1" applyAlignment="1">
      <alignment horizontal="center" vertical="center" wrapText="1"/>
    </xf>
    <xf numFmtId="0" fontId="20" fillId="14" borderId="4" xfId="0" applyFont="1" applyFill="1" applyBorder="1" applyAlignment="1">
      <alignment horizontal="center" vertical="center" wrapText="1"/>
    </xf>
    <xf numFmtId="0" fontId="20" fillId="15" borderId="5" xfId="0" applyFont="1" applyFill="1" applyBorder="1" applyAlignment="1">
      <alignment horizontal="center" vertical="center" wrapText="1"/>
    </xf>
    <xf numFmtId="0" fontId="20" fillId="15" borderId="1" xfId="0" applyFont="1" applyFill="1" applyBorder="1" applyAlignment="1">
      <alignment horizontal="center" vertical="center" wrapText="1"/>
    </xf>
    <xf numFmtId="0" fontId="20" fillId="15" borderId="2" xfId="0" applyFont="1" applyFill="1" applyBorder="1" applyAlignment="1">
      <alignment horizontal="center" vertical="center" wrapText="1"/>
    </xf>
    <xf numFmtId="0" fontId="20" fillId="15" borderId="6" xfId="0" applyFont="1" applyFill="1" applyBorder="1" applyAlignment="1">
      <alignment horizontal="center" vertical="center" wrapText="1"/>
    </xf>
    <xf numFmtId="0" fontId="20" fillId="15" borderId="3" xfId="0" applyFont="1" applyFill="1" applyBorder="1" applyAlignment="1">
      <alignment horizontal="center" vertical="center" wrapText="1"/>
    </xf>
    <xf numFmtId="0" fontId="20" fillId="15" borderId="4" xfId="0" applyFont="1" applyFill="1" applyBorder="1" applyAlignment="1">
      <alignment horizontal="center" vertical="center" wrapText="1"/>
    </xf>
    <xf numFmtId="0" fontId="11" fillId="13" borderId="13" xfId="0" applyFont="1" applyFill="1" applyBorder="1" applyAlignment="1">
      <alignment horizontal="center" vertical="center" wrapText="1"/>
    </xf>
    <xf numFmtId="0" fontId="11" fillId="13" borderId="14" xfId="0" applyFont="1" applyFill="1" applyBorder="1" applyAlignment="1">
      <alignment horizontal="center" vertical="center" wrapText="1"/>
    </xf>
    <xf numFmtId="49" fontId="11" fillId="13" borderId="12" xfId="0" applyNumberFormat="1" applyFont="1" applyFill="1" applyBorder="1" applyAlignment="1">
      <alignment horizontal="center" vertical="center" wrapText="1"/>
    </xf>
    <xf numFmtId="49" fontId="11" fillId="13" borderId="2" xfId="0" applyNumberFormat="1" applyFont="1" applyFill="1" applyBorder="1" applyAlignment="1">
      <alignment horizontal="center" vertical="center" wrapText="1"/>
    </xf>
    <xf numFmtId="49" fontId="11" fillId="13" borderId="7" xfId="0" applyNumberFormat="1" applyFont="1" applyFill="1" applyBorder="1" applyAlignment="1">
      <alignment horizontal="center" vertical="center" wrapText="1"/>
    </xf>
    <xf numFmtId="49" fontId="11" fillId="13" borderId="4" xfId="0" applyNumberFormat="1" applyFont="1" applyFill="1" applyBorder="1" applyAlignment="1">
      <alignment horizontal="center" vertical="center" wrapText="1"/>
    </xf>
    <xf numFmtId="0" fontId="11" fillId="13" borderId="12" xfId="0" applyFont="1" applyFill="1" applyBorder="1" applyAlignment="1">
      <alignment horizontal="center" vertical="center" wrapText="1"/>
    </xf>
    <xf numFmtId="0" fontId="11" fillId="13" borderId="2" xfId="0" applyFont="1" applyFill="1" applyBorder="1" applyAlignment="1">
      <alignment horizontal="center" vertical="center" wrapText="1"/>
    </xf>
    <xf numFmtId="0" fontId="11" fillId="13" borderId="7" xfId="0" applyFont="1" applyFill="1" applyBorder="1" applyAlignment="1">
      <alignment horizontal="center" vertical="center" wrapText="1"/>
    </xf>
    <xf numFmtId="0" fontId="11" fillId="13" borderId="4" xfId="0" applyFont="1" applyFill="1" applyBorder="1" applyAlignment="1">
      <alignment horizontal="center" vertical="center" wrapText="1"/>
    </xf>
    <xf numFmtId="0" fontId="22" fillId="13" borderId="5" xfId="0" applyFont="1" applyFill="1" applyBorder="1" applyAlignment="1">
      <alignment horizontal="center" vertical="center" wrapText="1"/>
    </xf>
    <xf numFmtId="0" fontId="22" fillId="13" borderId="1" xfId="0" applyFont="1" applyFill="1" applyBorder="1" applyAlignment="1">
      <alignment horizontal="center" vertical="center" wrapText="1"/>
    </xf>
    <xf numFmtId="0" fontId="22" fillId="13" borderId="2" xfId="0" applyFont="1" applyFill="1" applyBorder="1" applyAlignment="1">
      <alignment horizontal="center" vertical="center" wrapText="1"/>
    </xf>
    <xf numFmtId="0" fontId="22" fillId="13" borderId="6" xfId="0" applyFont="1" applyFill="1" applyBorder="1" applyAlignment="1">
      <alignment horizontal="center" vertical="center" wrapText="1"/>
    </xf>
    <xf numFmtId="0" fontId="22" fillId="13" borderId="3" xfId="0" applyFont="1" applyFill="1" applyBorder="1" applyAlignment="1">
      <alignment horizontal="center" vertical="center" wrapText="1"/>
    </xf>
    <xf numFmtId="0" fontId="22" fillId="13" borderId="4" xfId="0" applyFont="1" applyFill="1" applyBorder="1" applyAlignment="1">
      <alignment horizontal="center" vertical="center" wrapText="1"/>
    </xf>
    <xf numFmtId="0" fontId="21" fillId="14" borderId="5" xfId="0" applyFont="1" applyFill="1" applyBorder="1" applyAlignment="1">
      <alignment horizontal="center" vertical="center" wrapText="1"/>
    </xf>
    <xf numFmtId="0" fontId="21" fillId="14" borderId="1" xfId="0" applyFont="1" applyFill="1" applyBorder="1" applyAlignment="1">
      <alignment horizontal="center" vertical="center" wrapText="1"/>
    </xf>
    <xf numFmtId="0" fontId="21" fillId="14" borderId="2" xfId="0" applyFont="1" applyFill="1" applyBorder="1" applyAlignment="1">
      <alignment horizontal="center" vertical="center" wrapText="1"/>
    </xf>
    <xf numFmtId="0" fontId="21" fillId="14" borderId="6" xfId="0" applyFont="1" applyFill="1" applyBorder="1" applyAlignment="1">
      <alignment horizontal="center" vertical="center" wrapText="1"/>
    </xf>
    <xf numFmtId="0" fontId="21" fillId="14" borderId="3" xfId="0" applyFont="1" applyFill="1" applyBorder="1" applyAlignment="1">
      <alignment horizontal="center" vertical="center" wrapText="1"/>
    </xf>
    <xf numFmtId="0" fontId="21" fillId="14" borderId="4" xfId="0" applyFont="1" applyFill="1" applyBorder="1" applyAlignment="1">
      <alignment horizontal="center" vertical="center" wrapText="1"/>
    </xf>
    <xf numFmtId="0" fontId="8" fillId="13" borderId="13" xfId="0" applyFont="1" applyFill="1" applyBorder="1" applyAlignment="1">
      <alignment horizontal="center" vertical="center" wrapText="1"/>
    </xf>
    <xf numFmtId="0" fontId="8" fillId="13" borderId="14" xfId="0" applyFont="1" applyFill="1" applyBorder="1" applyAlignment="1">
      <alignment horizontal="center" vertical="center" wrapText="1"/>
    </xf>
    <xf numFmtId="0" fontId="25" fillId="13" borderId="12" xfId="0" applyFont="1" applyFill="1" applyBorder="1" applyAlignment="1">
      <alignment horizontal="left" vertical="center" wrapText="1"/>
    </xf>
    <xf numFmtId="0" fontId="25" fillId="13" borderId="2" xfId="0" applyFont="1" applyFill="1" applyBorder="1" applyAlignment="1">
      <alignment horizontal="left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38358</xdr:colOff>
      <xdr:row>36</xdr:row>
      <xdr:rowOff>11207</xdr:rowOff>
    </xdr:from>
    <xdr:to>
      <xdr:col>3</xdr:col>
      <xdr:colOff>1120179</xdr:colOff>
      <xdr:row>49</xdr:row>
      <xdr:rowOff>224120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A58E0A0-F87A-49BD-BED1-E58A617E61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754" b="98724" l="6618" r="97141">
                      <a14:foregroundMark x1="49673" y1="5684" x2="65605" y2="43503"/>
                      <a14:foregroundMark x1="48938" y1="1508" x2="52288" y2="12761"/>
                      <a14:foregroundMark x1="6618" y1="5162" x2="11193" y2="22970"/>
                      <a14:foregroundMark x1="11193" y1="22970" x2="22549" y2="39791"/>
                      <a14:foregroundMark x1="22549" y1="39791" x2="28922" y2="43213"/>
                      <a14:foregroundMark x1="40441" y1="78132" x2="36111" y2="93155"/>
                      <a14:foregroundMark x1="36111" y1="93155" x2="58987" y2="98724"/>
                      <a14:foregroundMark x1="97222" y1="71636" x2="73775" y2="77610"/>
                      <a14:foregroundMark x1="97222" y1="50000" x2="75408" y2="42633"/>
                      <a14:foregroundMark x1="75408" y1="42633" x2="53023" y2="41821"/>
                      <a14:foregroundMark x1="53023" y1="41821" x2="53023" y2="42981"/>
                      <a14:foregroundMark x1="50082" y1="754" x2="44118" y2="464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7710" t="1678" r="2241" b="6725"/>
        <a:stretch/>
      </xdr:blipFill>
      <xdr:spPr>
        <a:xfrm>
          <a:off x="79179" y="8923886"/>
          <a:ext cx="1884643" cy="3056805"/>
        </a:xfrm>
        <a:prstGeom prst="rect">
          <a:avLst/>
        </a:prstGeom>
      </xdr:spPr>
    </xdr:pic>
    <xdr:clientData/>
  </xdr:twoCellAnchor>
  <xdr:oneCellAnchor>
    <xdr:from>
      <xdr:col>1</xdr:col>
      <xdr:colOff>24751</xdr:colOff>
      <xdr:row>3</xdr:row>
      <xdr:rowOff>11207</xdr:rowOff>
    </xdr:from>
    <xdr:ext cx="2016322" cy="3056805"/>
    <xdr:pic>
      <xdr:nvPicPr>
        <xdr:cNvPr id="6" name="Imagen 5">
          <a:extLst>
            <a:ext uri="{FF2B5EF4-FFF2-40B4-BE49-F238E27FC236}">
              <a16:creationId xmlns:a16="http://schemas.microsoft.com/office/drawing/2014/main" id="{9B5BC3CF-19AC-4859-B323-130D915537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754" b="98724" l="6618" r="97141">
                      <a14:foregroundMark x1="49673" y1="5684" x2="65605" y2="43503"/>
                      <a14:foregroundMark x1="48938" y1="1508" x2="52288" y2="12761"/>
                      <a14:foregroundMark x1="6618" y1="5162" x2="11193" y2="22970"/>
                      <a14:foregroundMark x1="11193" y1="22970" x2="22549" y2="39791"/>
                      <a14:foregroundMark x1="22549" y1="39791" x2="28922" y2="43213"/>
                      <a14:foregroundMark x1="40441" y1="78132" x2="36111" y2="93155"/>
                      <a14:foregroundMark x1="36111" y1="93155" x2="58987" y2="98724"/>
                      <a14:foregroundMark x1="97222" y1="71636" x2="73775" y2="77610"/>
                      <a14:foregroundMark x1="97222" y1="50000" x2="75408" y2="42633"/>
                      <a14:foregroundMark x1="75408" y1="42633" x2="53023" y2="41821"/>
                      <a14:foregroundMark x1="53023" y1="41821" x2="53023" y2="42981"/>
                      <a14:foregroundMark x1="50082" y1="754" x2="44118" y2="464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7710" t="1678" r="2241" b="6725"/>
        <a:stretch/>
      </xdr:blipFill>
      <xdr:spPr>
        <a:xfrm>
          <a:off x="65572" y="745993"/>
          <a:ext cx="2016322" cy="305680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39"/>
  <sheetViews>
    <sheetView showGridLines="0" tabSelected="1" topLeftCell="A7" zoomScaleNormal="100" workbookViewId="0">
      <selection activeCell="N26" sqref="N26:O26"/>
    </sheetView>
  </sheetViews>
  <sheetFormatPr baseColWidth="10" defaultColWidth="14.42578125" defaultRowHeight="15" x14ac:dyDescent="0.25"/>
  <cols>
    <col min="1" max="1" width="0.5703125" style="1" customWidth="1"/>
    <col min="2" max="2" width="6.7109375" style="1" customWidth="1"/>
    <col min="3" max="3" width="5.28515625" style="1" customWidth="1"/>
    <col min="4" max="4" width="17" style="1" customWidth="1"/>
    <col min="5" max="5" width="3.42578125" style="1" customWidth="1"/>
    <col min="6" max="6" width="9.28515625" style="1" customWidth="1"/>
    <col min="7" max="7" width="10.7109375" style="1" customWidth="1"/>
    <col min="8" max="8" width="8.7109375" style="1" customWidth="1"/>
    <col min="9" max="9" width="5.7109375" style="1" customWidth="1"/>
    <col min="10" max="10" width="10.7109375" style="1" customWidth="1"/>
    <col min="11" max="11" width="8.7109375" style="1" customWidth="1"/>
    <col min="12" max="12" width="5.7109375" style="1" customWidth="1"/>
    <col min="13" max="13" width="10.7109375" style="1" customWidth="1"/>
    <col min="14" max="14" width="8.7109375" style="1" customWidth="1"/>
    <col min="15" max="15" width="5.7109375" style="1" customWidth="1"/>
    <col min="16" max="16" width="10.7109375" style="1" customWidth="1"/>
    <col min="17" max="17" width="8.7109375" style="1" customWidth="1"/>
    <col min="18" max="18" width="5.7109375" style="1" customWidth="1"/>
    <col min="19" max="19" width="0.5703125" style="1" customWidth="1"/>
    <col min="20" max="16384" width="14.42578125" style="1"/>
  </cols>
  <sheetData>
    <row r="1" spans="1:18" ht="15" customHeight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21.95" customHeight="1" x14ac:dyDescent="0.25">
      <c r="B2" s="106" t="s">
        <v>1</v>
      </c>
      <c r="C2" s="107"/>
      <c r="D2" s="108"/>
      <c r="E2" s="112" t="s">
        <v>2</v>
      </c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4"/>
    </row>
    <row r="3" spans="1:18" ht="21.95" customHeight="1" thickBot="1" x14ac:dyDescent="0.3">
      <c r="B3" s="109"/>
      <c r="C3" s="110"/>
      <c r="D3" s="111"/>
      <c r="E3" s="115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7"/>
    </row>
    <row r="4" spans="1:18" ht="12.95" customHeight="1" x14ac:dyDescent="0.25">
      <c r="B4" s="118"/>
      <c r="C4" s="119"/>
      <c r="D4" s="120"/>
      <c r="E4" s="127" t="s">
        <v>37</v>
      </c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9"/>
    </row>
    <row r="5" spans="1:18" ht="12.95" customHeight="1" x14ac:dyDescent="0.25">
      <c r="B5" s="121"/>
      <c r="C5" s="122"/>
      <c r="D5" s="123"/>
      <c r="E5" s="130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2"/>
    </row>
    <row r="6" spans="1:18" ht="20.25" customHeight="1" x14ac:dyDescent="0.25">
      <c r="B6" s="121"/>
      <c r="C6" s="122"/>
      <c r="D6" s="123"/>
      <c r="E6" s="130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32"/>
    </row>
    <row r="7" spans="1:18" ht="4.5" customHeight="1" thickBot="1" x14ac:dyDescent="0.3">
      <c r="B7" s="121"/>
      <c r="C7" s="122"/>
      <c r="D7" s="123"/>
      <c r="E7" s="133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5"/>
    </row>
    <row r="8" spans="1:18" ht="20.100000000000001" customHeight="1" x14ac:dyDescent="0.25">
      <c r="B8" s="121"/>
      <c r="C8" s="122"/>
      <c r="D8" s="123"/>
      <c r="E8" s="102" t="s">
        <v>24</v>
      </c>
      <c r="F8" s="103"/>
      <c r="G8" s="188" t="s">
        <v>44</v>
      </c>
      <c r="H8" s="189"/>
      <c r="I8" s="190"/>
      <c r="J8" s="188" t="s">
        <v>25</v>
      </c>
      <c r="K8" s="189"/>
      <c r="L8" s="190"/>
      <c r="M8" s="182" t="s">
        <v>26</v>
      </c>
      <c r="N8" s="183"/>
      <c r="O8" s="184"/>
      <c r="P8" s="182" t="s">
        <v>27</v>
      </c>
      <c r="Q8" s="183"/>
      <c r="R8" s="184"/>
    </row>
    <row r="9" spans="1:18" ht="20.100000000000001" customHeight="1" thickBot="1" x14ac:dyDescent="0.3">
      <c r="B9" s="121"/>
      <c r="C9" s="122"/>
      <c r="D9" s="123"/>
      <c r="E9" s="104"/>
      <c r="F9" s="105"/>
      <c r="G9" s="191"/>
      <c r="H9" s="192"/>
      <c r="I9" s="193"/>
      <c r="J9" s="191"/>
      <c r="K9" s="192"/>
      <c r="L9" s="193"/>
      <c r="M9" s="185"/>
      <c r="N9" s="186"/>
      <c r="O9" s="187"/>
      <c r="P9" s="185"/>
      <c r="Q9" s="186"/>
      <c r="R9" s="187"/>
    </row>
    <row r="10" spans="1:18" ht="20.100000000000001" customHeight="1" x14ac:dyDescent="0.25">
      <c r="B10" s="121"/>
      <c r="C10" s="122"/>
      <c r="D10" s="123"/>
      <c r="E10" s="102" t="s">
        <v>3</v>
      </c>
      <c r="F10" s="103"/>
      <c r="G10" s="142" t="s">
        <v>38</v>
      </c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4"/>
    </row>
    <row r="11" spans="1:18" ht="20.100000000000001" customHeight="1" thickBot="1" x14ac:dyDescent="0.3">
      <c r="B11" s="121"/>
      <c r="C11" s="122"/>
      <c r="D11" s="123"/>
      <c r="E11" s="104"/>
      <c r="F11" s="105"/>
      <c r="G11" s="145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7"/>
    </row>
    <row r="12" spans="1:18" ht="20.100000000000001" customHeight="1" x14ac:dyDescent="0.25">
      <c r="B12" s="121"/>
      <c r="C12" s="122"/>
      <c r="D12" s="123"/>
      <c r="E12" s="148" t="s">
        <v>4</v>
      </c>
      <c r="F12" s="149"/>
      <c r="G12" s="176" t="s">
        <v>45</v>
      </c>
      <c r="H12" s="177"/>
      <c r="I12" s="178"/>
      <c r="J12" s="176" t="s">
        <v>46</v>
      </c>
      <c r="K12" s="177"/>
      <c r="L12" s="178"/>
      <c r="M12" s="204" t="s">
        <v>48</v>
      </c>
      <c r="N12" s="205"/>
      <c r="O12" s="206"/>
      <c r="P12" s="204" t="s">
        <v>47</v>
      </c>
      <c r="Q12" s="205"/>
      <c r="R12" s="206"/>
    </row>
    <row r="13" spans="1:18" ht="20.100000000000001" customHeight="1" thickBot="1" x14ac:dyDescent="0.3">
      <c r="B13" s="121"/>
      <c r="C13" s="122"/>
      <c r="D13" s="123"/>
      <c r="E13" s="150"/>
      <c r="F13" s="151"/>
      <c r="G13" s="179"/>
      <c r="H13" s="180"/>
      <c r="I13" s="181"/>
      <c r="J13" s="179"/>
      <c r="K13" s="180"/>
      <c r="L13" s="181"/>
      <c r="M13" s="207"/>
      <c r="N13" s="208"/>
      <c r="O13" s="209"/>
      <c r="P13" s="207"/>
      <c r="Q13" s="208"/>
      <c r="R13" s="209"/>
    </row>
    <row r="14" spans="1:18" ht="20.100000000000001" customHeight="1" x14ac:dyDescent="0.25">
      <c r="B14" s="121"/>
      <c r="C14" s="122"/>
      <c r="D14" s="123"/>
      <c r="E14" s="148" t="s">
        <v>23</v>
      </c>
      <c r="F14" s="149"/>
      <c r="G14" s="30"/>
      <c r="H14" s="31"/>
      <c r="I14" s="34" t="s">
        <v>5</v>
      </c>
      <c r="J14" s="30"/>
      <c r="K14" s="31"/>
      <c r="L14" s="34" t="s">
        <v>5</v>
      </c>
      <c r="M14" s="30">
        <f>59*110%</f>
        <v>64.900000000000006</v>
      </c>
      <c r="N14" s="31"/>
      <c r="O14" s="34" t="s">
        <v>5</v>
      </c>
      <c r="P14" s="30">
        <f>61*110%</f>
        <v>67.100000000000009</v>
      </c>
      <c r="Q14" s="31"/>
      <c r="R14" s="34" t="s">
        <v>5</v>
      </c>
    </row>
    <row r="15" spans="1:18" ht="20.100000000000001" customHeight="1" thickBot="1" x14ac:dyDescent="0.3">
      <c r="B15" s="121"/>
      <c r="C15" s="122"/>
      <c r="D15" s="123"/>
      <c r="E15" s="150"/>
      <c r="F15" s="151"/>
      <c r="G15" s="32"/>
      <c r="H15" s="33"/>
      <c r="I15" s="35"/>
      <c r="J15" s="32"/>
      <c r="K15" s="33"/>
      <c r="L15" s="35"/>
      <c r="M15" s="32"/>
      <c r="N15" s="33"/>
      <c r="O15" s="35"/>
      <c r="P15" s="32"/>
      <c r="Q15" s="33"/>
      <c r="R15" s="35"/>
    </row>
    <row r="16" spans="1:18" ht="20.100000000000001" customHeight="1" x14ac:dyDescent="0.25">
      <c r="B16" s="121"/>
      <c r="C16" s="122"/>
      <c r="D16" s="123"/>
      <c r="E16" s="102" t="s">
        <v>6</v>
      </c>
      <c r="F16" s="103"/>
      <c r="G16" s="36"/>
      <c r="H16" s="37"/>
      <c r="I16" s="40" t="s">
        <v>7</v>
      </c>
      <c r="J16" s="36"/>
      <c r="K16" s="37"/>
      <c r="L16" s="40" t="s">
        <v>7</v>
      </c>
      <c r="M16" s="36">
        <v>3.1018518518518517E-3</v>
      </c>
      <c r="N16" s="37"/>
      <c r="O16" s="40" t="s">
        <v>7</v>
      </c>
      <c r="P16" s="36">
        <v>3.1365740740740742E-3</v>
      </c>
      <c r="Q16" s="37"/>
      <c r="R16" s="40" t="s">
        <v>7</v>
      </c>
    </row>
    <row r="17" spans="2:18" ht="20.100000000000001" customHeight="1" thickBot="1" x14ac:dyDescent="0.3">
      <c r="B17" s="124"/>
      <c r="C17" s="125"/>
      <c r="D17" s="126"/>
      <c r="E17" s="104"/>
      <c r="F17" s="105"/>
      <c r="G17" s="38"/>
      <c r="H17" s="39"/>
      <c r="I17" s="41"/>
      <c r="J17" s="38"/>
      <c r="K17" s="39"/>
      <c r="L17" s="41"/>
      <c r="M17" s="38"/>
      <c r="N17" s="39"/>
      <c r="O17" s="41"/>
      <c r="P17" s="38"/>
      <c r="Q17" s="39"/>
      <c r="R17" s="41"/>
    </row>
    <row r="18" spans="2:18" ht="21.95" customHeight="1" x14ac:dyDescent="0.25">
      <c r="B18" s="74" t="s">
        <v>12</v>
      </c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6"/>
    </row>
    <row r="19" spans="2:18" ht="21.95" customHeight="1" thickBot="1" x14ac:dyDescent="0.3">
      <c r="B19" s="77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9"/>
    </row>
    <row r="20" spans="2:18" ht="21.95" customHeight="1" x14ac:dyDescent="0.25">
      <c r="B20" s="80" t="s">
        <v>14</v>
      </c>
      <c r="C20" s="81"/>
      <c r="D20" s="81"/>
      <c r="E20" s="81"/>
      <c r="F20" s="82"/>
      <c r="G20" s="162" t="s">
        <v>31</v>
      </c>
      <c r="H20" s="163"/>
      <c r="I20" s="164"/>
      <c r="J20" s="162" t="s">
        <v>31</v>
      </c>
      <c r="K20" s="163"/>
      <c r="L20" s="164"/>
      <c r="M20" s="210" t="s">
        <v>29</v>
      </c>
      <c r="N20" s="211"/>
      <c r="O20" s="212"/>
      <c r="P20" s="210" t="s">
        <v>29</v>
      </c>
      <c r="Q20" s="211"/>
      <c r="R20" s="212"/>
    </row>
    <row r="21" spans="2:18" ht="21.95" customHeight="1" thickBot="1" x14ac:dyDescent="0.3">
      <c r="B21" s="83"/>
      <c r="C21" s="84"/>
      <c r="D21" s="84"/>
      <c r="E21" s="84"/>
      <c r="F21" s="85"/>
      <c r="G21" s="165"/>
      <c r="H21" s="166"/>
      <c r="I21" s="167"/>
      <c r="J21" s="165"/>
      <c r="K21" s="166"/>
      <c r="L21" s="167"/>
      <c r="M21" s="213"/>
      <c r="N21" s="214"/>
      <c r="O21" s="215"/>
      <c r="P21" s="213"/>
      <c r="Q21" s="214"/>
      <c r="R21" s="215"/>
    </row>
    <row r="22" spans="2:18" ht="21.95" customHeight="1" x14ac:dyDescent="0.25">
      <c r="B22" s="80" t="s">
        <v>10</v>
      </c>
      <c r="C22" s="92"/>
      <c r="D22" s="94" t="s">
        <v>8</v>
      </c>
      <c r="E22" s="95"/>
      <c r="F22" s="96"/>
      <c r="G22" s="168" t="s">
        <v>15</v>
      </c>
      <c r="H22" s="158" t="s">
        <v>13</v>
      </c>
      <c r="I22" s="159"/>
      <c r="J22" s="168" t="s">
        <v>15</v>
      </c>
      <c r="K22" s="158" t="s">
        <v>13</v>
      </c>
      <c r="L22" s="159"/>
      <c r="M22" s="216" t="s">
        <v>15</v>
      </c>
      <c r="N22" s="200" t="s">
        <v>13</v>
      </c>
      <c r="O22" s="201"/>
      <c r="P22" s="216" t="s">
        <v>15</v>
      </c>
      <c r="Q22" s="200" t="s">
        <v>13</v>
      </c>
      <c r="R22" s="201"/>
    </row>
    <row r="23" spans="2:18" ht="21.95" customHeight="1" thickBot="1" x14ac:dyDescent="0.3">
      <c r="B23" s="83"/>
      <c r="C23" s="93"/>
      <c r="D23" s="97"/>
      <c r="E23" s="98"/>
      <c r="F23" s="99"/>
      <c r="G23" s="169"/>
      <c r="H23" s="160"/>
      <c r="I23" s="161"/>
      <c r="J23" s="169"/>
      <c r="K23" s="160"/>
      <c r="L23" s="161"/>
      <c r="M23" s="217"/>
      <c r="N23" s="202"/>
      <c r="O23" s="203"/>
      <c r="P23" s="217"/>
      <c r="Q23" s="202"/>
      <c r="R23" s="203"/>
    </row>
    <row r="24" spans="2:18" ht="21.95" customHeight="1" x14ac:dyDescent="0.25">
      <c r="B24" s="57">
        <v>0.38</v>
      </c>
      <c r="C24" s="58"/>
      <c r="D24" s="61" t="s">
        <v>35</v>
      </c>
      <c r="E24" s="62"/>
      <c r="F24" s="63"/>
      <c r="G24" s="170" t="s">
        <v>17</v>
      </c>
      <c r="H24" s="172" t="s">
        <v>9</v>
      </c>
      <c r="I24" s="173"/>
      <c r="J24" s="170" t="s">
        <v>17</v>
      </c>
      <c r="K24" s="172" t="s">
        <v>9</v>
      </c>
      <c r="L24" s="173"/>
      <c r="M24" s="194" t="s">
        <v>17</v>
      </c>
      <c r="N24" s="196" t="s">
        <v>9</v>
      </c>
      <c r="O24" s="197"/>
      <c r="P24" s="194" t="s">
        <v>17</v>
      </c>
      <c r="Q24" s="196" t="s">
        <v>9</v>
      </c>
      <c r="R24" s="197"/>
    </row>
    <row r="25" spans="2:18" ht="21.95" customHeight="1" thickBot="1" x14ac:dyDescent="0.3">
      <c r="B25" s="59"/>
      <c r="C25" s="60"/>
      <c r="D25" s="54" t="s">
        <v>36</v>
      </c>
      <c r="E25" s="55"/>
      <c r="F25" s="56"/>
      <c r="G25" s="171"/>
      <c r="H25" s="174"/>
      <c r="I25" s="175"/>
      <c r="J25" s="171"/>
      <c r="K25" s="174"/>
      <c r="L25" s="175"/>
      <c r="M25" s="195"/>
      <c r="N25" s="198"/>
      <c r="O25" s="199"/>
      <c r="P25" s="195"/>
      <c r="Q25" s="198"/>
      <c r="R25" s="199"/>
    </row>
    <row r="26" spans="2:18" ht="21.95" customHeight="1" x14ac:dyDescent="0.25">
      <c r="B26" s="57">
        <v>0.01</v>
      </c>
      <c r="C26" s="58"/>
      <c r="D26" s="61" t="s">
        <v>21</v>
      </c>
      <c r="E26" s="62"/>
      <c r="F26" s="63"/>
      <c r="G26" s="170" t="s">
        <v>18</v>
      </c>
      <c r="H26" s="158" t="s">
        <v>22</v>
      </c>
      <c r="I26" s="159"/>
      <c r="J26" s="170" t="s">
        <v>18</v>
      </c>
      <c r="K26" s="158" t="s">
        <v>22</v>
      </c>
      <c r="L26" s="159"/>
      <c r="M26" s="194" t="s">
        <v>18</v>
      </c>
      <c r="N26" s="218" t="s">
        <v>49</v>
      </c>
      <c r="O26" s="219"/>
      <c r="P26" s="194" t="s">
        <v>18</v>
      </c>
      <c r="Q26" s="218" t="s">
        <v>49</v>
      </c>
      <c r="R26" s="219"/>
    </row>
    <row r="27" spans="2:18" ht="21.95" customHeight="1" thickBot="1" x14ac:dyDescent="0.3">
      <c r="B27" s="59"/>
      <c r="C27" s="60"/>
      <c r="D27" s="54">
        <v>40</v>
      </c>
      <c r="E27" s="55"/>
      <c r="F27" s="56"/>
      <c r="G27" s="171"/>
      <c r="H27" s="160"/>
      <c r="I27" s="161"/>
      <c r="J27" s="171"/>
      <c r="K27" s="160"/>
      <c r="L27" s="161"/>
      <c r="M27" s="195"/>
      <c r="N27" s="202" t="s">
        <v>22</v>
      </c>
      <c r="O27" s="203"/>
      <c r="P27" s="195"/>
      <c r="Q27" s="202" t="s">
        <v>22</v>
      </c>
      <c r="R27" s="203"/>
    </row>
    <row r="28" spans="2:18" ht="21.95" customHeight="1" x14ac:dyDescent="0.25">
      <c r="B28" s="57">
        <v>0.61</v>
      </c>
      <c r="C28" s="58"/>
      <c r="D28" s="61" t="s">
        <v>16</v>
      </c>
      <c r="E28" s="62"/>
      <c r="F28" s="63"/>
      <c r="G28" s="170" t="s">
        <v>30</v>
      </c>
      <c r="H28" s="172" t="s">
        <v>9</v>
      </c>
      <c r="I28" s="173"/>
      <c r="J28" s="170" t="s">
        <v>30</v>
      </c>
      <c r="K28" s="172" t="s">
        <v>9</v>
      </c>
      <c r="L28" s="173"/>
      <c r="M28" s="194" t="s">
        <v>30</v>
      </c>
      <c r="N28" s="196" t="s">
        <v>9</v>
      </c>
      <c r="O28" s="197"/>
      <c r="P28" s="194" t="s">
        <v>30</v>
      </c>
      <c r="Q28" s="196" t="s">
        <v>9</v>
      </c>
      <c r="R28" s="197"/>
    </row>
    <row r="29" spans="2:18" ht="21.95" customHeight="1" thickBot="1" x14ac:dyDescent="0.3">
      <c r="B29" s="59"/>
      <c r="C29" s="60"/>
      <c r="D29" s="54" t="s">
        <v>11</v>
      </c>
      <c r="E29" s="55"/>
      <c r="F29" s="56"/>
      <c r="G29" s="171"/>
      <c r="H29" s="174"/>
      <c r="I29" s="175"/>
      <c r="J29" s="171"/>
      <c r="K29" s="174"/>
      <c r="L29" s="175"/>
      <c r="M29" s="195"/>
      <c r="N29" s="198"/>
      <c r="O29" s="199"/>
      <c r="P29" s="195"/>
      <c r="Q29" s="198"/>
      <c r="R29" s="199"/>
    </row>
    <row r="30" spans="2:18" ht="21.95" customHeight="1" x14ac:dyDescent="0.25">
      <c r="B30" s="9" t="s">
        <v>43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1"/>
    </row>
    <row r="31" spans="2:18" ht="21.95" customHeight="1" x14ac:dyDescent="0.25"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4"/>
    </row>
    <row r="32" spans="2:18" ht="21.95" customHeight="1" x14ac:dyDescent="0.25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4"/>
    </row>
    <row r="33" spans="2:18" ht="21.95" customHeight="1" thickBot="1" x14ac:dyDescent="0.3">
      <c r="B33" s="15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7"/>
    </row>
    <row r="34" spans="2:18" ht="15" customHeight="1" thickBot="1" x14ac:dyDescent="0.3"/>
    <row r="35" spans="2:18" ht="21.95" customHeight="1" x14ac:dyDescent="0.25">
      <c r="B35" s="106" t="s">
        <v>1</v>
      </c>
      <c r="C35" s="107"/>
      <c r="D35" s="108"/>
      <c r="E35" s="112" t="s">
        <v>2</v>
      </c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4"/>
    </row>
    <row r="36" spans="2:18" ht="21.95" customHeight="1" thickBot="1" x14ac:dyDescent="0.3">
      <c r="B36" s="109"/>
      <c r="C36" s="110"/>
      <c r="D36" s="111"/>
      <c r="E36" s="115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7"/>
    </row>
    <row r="37" spans="2:18" ht="12.95" customHeight="1" x14ac:dyDescent="0.25">
      <c r="B37" s="118"/>
      <c r="C37" s="119"/>
      <c r="D37" s="120"/>
      <c r="E37" s="127" t="s">
        <v>37</v>
      </c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9"/>
    </row>
    <row r="38" spans="2:18" ht="12.95" customHeight="1" x14ac:dyDescent="0.25">
      <c r="B38" s="121"/>
      <c r="C38" s="122"/>
      <c r="D38" s="123"/>
      <c r="E38" s="130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2"/>
    </row>
    <row r="39" spans="2:18" ht="20.25" customHeight="1" x14ac:dyDescent="0.25">
      <c r="B39" s="121"/>
      <c r="C39" s="122"/>
      <c r="D39" s="123"/>
      <c r="E39" s="130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2"/>
    </row>
    <row r="40" spans="2:18" ht="4.5" customHeight="1" thickBot="1" x14ac:dyDescent="0.3">
      <c r="B40" s="121"/>
      <c r="C40" s="122"/>
      <c r="D40" s="123"/>
      <c r="E40" s="133"/>
      <c r="F40" s="134"/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5"/>
    </row>
    <row r="41" spans="2:18" ht="20.100000000000001" customHeight="1" x14ac:dyDescent="0.25">
      <c r="B41" s="121"/>
      <c r="C41" s="122"/>
      <c r="D41" s="123"/>
      <c r="E41" s="102" t="s">
        <v>24</v>
      </c>
      <c r="F41" s="103"/>
      <c r="G41" s="136" t="s">
        <v>28</v>
      </c>
      <c r="H41" s="137"/>
      <c r="I41" s="138"/>
      <c r="J41" s="136" t="s">
        <v>32</v>
      </c>
      <c r="K41" s="137"/>
      <c r="L41" s="138"/>
      <c r="M41" s="18" t="s">
        <v>33</v>
      </c>
      <c r="N41" s="19"/>
      <c r="O41" s="20"/>
      <c r="P41" s="18" t="s">
        <v>34</v>
      </c>
      <c r="Q41" s="19"/>
      <c r="R41" s="20"/>
    </row>
    <row r="42" spans="2:18" ht="20.100000000000001" customHeight="1" thickBot="1" x14ac:dyDescent="0.3">
      <c r="B42" s="121"/>
      <c r="C42" s="122"/>
      <c r="D42" s="123"/>
      <c r="E42" s="104"/>
      <c r="F42" s="105"/>
      <c r="G42" s="139"/>
      <c r="H42" s="140"/>
      <c r="I42" s="141"/>
      <c r="J42" s="139"/>
      <c r="K42" s="140"/>
      <c r="L42" s="141"/>
      <c r="M42" s="21"/>
      <c r="N42" s="22"/>
      <c r="O42" s="23"/>
      <c r="P42" s="21"/>
      <c r="Q42" s="22"/>
      <c r="R42" s="23"/>
    </row>
    <row r="43" spans="2:18" ht="20.100000000000001" customHeight="1" x14ac:dyDescent="0.25">
      <c r="B43" s="121"/>
      <c r="C43" s="122"/>
      <c r="D43" s="123"/>
      <c r="E43" s="102" t="s">
        <v>3</v>
      </c>
      <c r="F43" s="103"/>
      <c r="G43" s="142" t="s">
        <v>38</v>
      </c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4"/>
    </row>
    <row r="44" spans="2:18" ht="20.100000000000001" customHeight="1" thickBot="1" x14ac:dyDescent="0.3">
      <c r="B44" s="121"/>
      <c r="C44" s="122"/>
      <c r="D44" s="123"/>
      <c r="E44" s="104"/>
      <c r="F44" s="105"/>
      <c r="G44" s="145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7"/>
    </row>
    <row r="45" spans="2:18" ht="20.100000000000001" customHeight="1" x14ac:dyDescent="0.25">
      <c r="B45" s="121"/>
      <c r="C45" s="122"/>
      <c r="D45" s="123"/>
      <c r="E45" s="148" t="s">
        <v>4</v>
      </c>
      <c r="F45" s="149"/>
      <c r="G45" s="152" t="s">
        <v>42</v>
      </c>
      <c r="H45" s="153"/>
      <c r="I45" s="154"/>
      <c r="J45" s="152" t="s">
        <v>41</v>
      </c>
      <c r="K45" s="153"/>
      <c r="L45" s="154"/>
      <c r="M45" s="24" t="s">
        <v>40</v>
      </c>
      <c r="N45" s="25"/>
      <c r="O45" s="26"/>
      <c r="P45" s="24" t="s">
        <v>39</v>
      </c>
      <c r="Q45" s="25"/>
      <c r="R45" s="26"/>
    </row>
    <row r="46" spans="2:18" ht="20.100000000000001" customHeight="1" thickBot="1" x14ac:dyDescent="0.3">
      <c r="B46" s="121"/>
      <c r="C46" s="122"/>
      <c r="D46" s="123"/>
      <c r="E46" s="150"/>
      <c r="F46" s="151"/>
      <c r="G46" s="155"/>
      <c r="H46" s="156"/>
      <c r="I46" s="157"/>
      <c r="J46" s="155"/>
      <c r="K46" s="156"/>
      <c r="L46" s="157"/>
      <c r="M46" s="27"/>
      <c r="N46" s="28"/>
      <c r="O46" s="29"/>
      <c r="P46" s="27"/>
      <c r="Q46" s="28"/>
      <c r="R46" s="29"/>
    </row>
    <row r="47" spans="2:18" ht="20.100000000000001" customHeight="1" x14ac:dyDescent="0.25">
      <c r="B47" s="121"/>
      <c r="C47" s="122"/>
      <c r="D47" s="123"/>
      <c r="E47" s="148" t="s">
        <v>23</v>
      </c>
      <c r="F47" s="149"/>
      <c r="G47" s="30">
        <f>67*110%</f>
        <v>73.7</v>
      </c>
      <c r="H47" s="31"/>
      <c r="I47" s="34" t="s">
        <v>5</v>
      </c>
      <c r="J47" s="30">
        <f>69*110%</f>
        <v>75.900000000000006</v>
      </c>
      <c r="K47" s="31"/>
      <c r="L47" s="34" t="s">
        <v>5</v>
      </c>
      <c r="M47" s="30">
        <f>78*110%</f>
        <v>85.800000000000011</v>
      </c>
      <c r="N47" s="31"/>
      <c r="O47" s="34" t="s">
        <v>5</v>
      </c>
      <c r="P47" s="30">
        <f>80*110%</f>
        <v>88</v>
      </c>
      <c r="Q47" s="31"/>
      <c r="R47" s="34" t="s">
        <v>5</v>
      </c>
    </row>
    <row r="48" spans="2:18" ht="20.100000000000001" customHeight="1" thickBot="1" x14ac:dyDescent="0.3">
      <c r="B48" s="121"/>
      <c r="C48" s="122"/>
      <c r="D48" s="123"/>
      <c r="E48" s="150"/>
      <c r="F48" s="151"/>
      <c r="G48" s="32"/>
      <c r="H48" s="33"/>
      <c r="I48" s="35"/>
      <c r="J48" s="32"/>
      <c r="K48" s="33"/>
      <c r="L48" s="35"/>
      <c r="M48" s="32"/>
      <c r="N48" s="33"/>
      <c r="O48" s="35"/>
      <c r="P48" s="32"/>
      <c r="Q48" s="33"/>
      <c r="R48" s="35"/>
    </row>
    <row r="49" spans="2:18" ht="20.100000000000001" customHeight="1" x14ac:dyDescent="0.25">
      <c r="B49" s="121"/>
      <c r="C49" s="122"/>
      <c r="D49" s="123"/>
      <c r="E49" s="102" t="s">
        <v>6</v>
      </c>
      <c r="F49" s="103"/>
      <c r="G49" s="36">
        <v>2.1180555555555558E-3</v>
      </c>
      <c r="H49" s="37"/>
      <c r="I49" s="40" t="s">
        <v>7</v>
      </c>
      <c r="J49" s="36">
        <v>2.2453703703703702E-3</v>
      </c>
      <c r="K49" s="37"/>
      <c r="L49" s="40" t="s">
        <v>7</v>
      </c>
      <c r="M49" s="36">
        <v>2.2800925925925927E-3</v>
      </c>
      <c r="N49" s="37"/>
      <c r="O49" s="40" t="s">
        <v>7</v>
      </c>
      <c r="P49" s="36">
        <v>2.3263888888888887E-3</v>
      </c>
      <c r="Q49" s="37"/>
      <c r="R49" s="40" t="s">
        <v>7</v>
      </c>
    </row>
    <row r="50" spans="2:18" ht="20.100000000000001" customHeight="1" thickBot="1" x14ac:dyDescent="0.3">
      <c r="B50" s="124"/>
      <c r="C50" s="125"/>
      <c r="D50" s="126"/>
      <c r="E50" s="104"/>
      <c r="F50" s="105"/>
      <c r="G50" s="38"/>
      <c r="H50" s="39"/>
      <c r="I50" s="41"/>
      <c r="J50" s="38"/>
      <c r="K50" s="39"/>
      <c r="L50" s="41"/>
      <c r="M50" s="38"/>
      <c r="N50" s="39"/>
      <c r="O50" s="41"/>
      <c r="P50" s="38"/>
      <c r="Q50" s="39"/>
      <c r="R50" s="41"/>
    </row>
    <row r="51" spans="2:18" ht="21.95" customHeight="1" x14ac:dyDescent="0.25">
      <c r="B51" s="74" t="s">
        <v>12</v>
      </c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6"/>
    </row>
    <row r="52" spans="2:18" ht="21.95" customHeight="1" thickBot="1" x14ac:dyDescent="0.3">
      <c r="B52" s="77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9"/>
    </row>
    <row r="53" spans="2:18" ht="21.95" customHeight="1" x14ac:dyDescent="0.25">
      <c r="B53" s="80" t="s">
        <v>14</v>
      </c>
      <c r="C53" s="81"/>
      <c r="D53" s="81"/>
      <c r="E53" s="81"/>
      <c r="F53" s="82"/>
      <c r="G53" s="86" t="s">
        <v>19</v>
      </c>
      <c r="H53" s="87"/>
      <c r="I53" s="88"/>
      <c r="J53" s="86" t="s">
        <v>19</v>
      </c>
      <c r="K53" s="87"/>
      <c r="L53" s="88"/>
      <c r="M53" s="42" t="s">
        <v>19</v>
      </c>
      <c r="N53" s="43"/>
      <c r="O53" s="44"/>
      <c r="P53" s="42" t="s">
        <v>19</v>
      </c>
      <c r="Q53" s="43"/>
      <c r="R53" s="44"/>
    </row>
    <row r="54" spans="2:18" ht="21.95" customHeight="1" thickBot="1" x14ac:dyDescent="0.3">
      <c r="B54" s="83"/>
      <c r="C54" s="84"/>
      <c r="D54" s="84"/>
      <c r="E54" s="84"/>
      <c r="F54" s="85"/>
      <c r="G54" s="89"/>
      <c r="H54" s="90"/>
      <c r="I54" s="91"/>
      <c r="J54" s="89"/>
      <c r="K54" s="90"/>
      <c r="L54" s="91"/>
      <c r="M54" s="45"/>
      <c r="N54" s="46"/>
      <c r="O54" s="47"/>
      <c r="P54" s="45"/>
      <c r="Q54" s="46"/>
      <c r="R54" s="47"/>
    </row>
    <row r="55" spans="2:18" ht="21.95" customHeight="1" x14ac:dyDescent="0.25">
      <c r="B55" s="80" t="s">
        <v>10</v>
      </c>
      <c r="C55" s="92"/>
      <c r="D55" s="94" t="s">
        <v>8</v>
      </c>
      <c r="E55" s="95"/>
      <c r="F55" s="96"/>
      <c r="G55" s="100" t="s">
        <v>15</v>
      </c>
      <c r="H55" s="70" t="s">
        <v>13</v>
      </c>
      <c r="I55" s="71"/>
      <c r="J55" s="100" t="s">
        <v>15</v>
      </c>
      <c r="K55" s="70" t="s">
        <v>13</v>
      </c>
      <c r="L55" s="71"/>
      <c r="M55" s="48" t="s">
        <v>15</v>
      </c>
      <c r="N55" s="50" t="s">
        <v>13</v>
      </c>
      <c r="O55" s="51"/>
      <c r="P55" s="48" t="s">
        <v>15</v>
      </c>
      <c r="Q55" s="50" t="s">
        <v>13</v>
      </c>
      <c r="R55" s="51"/>
    </row>
    <row r="56" spans="2:18" ht="21.95" customHeight="1" thickBot="1" x14ac:dyDescent="0.3">
      <c r="B56" s="83"/>
      <c r="C56" s="93"/>
      <c r="D56" s="97"/>
      <c r="E56" s="98"/>
      <c r="F56" s="99"/>
      <c r="G56" s="101"/>
      <c r="H56" s="72"/>
      <c r="I56" s="73"/>
      <c r="J56" s="101"/>
      <c r="K56" s="72"/>
      <c r="L56" s="73"/>
      <c r="M56" s="49"/>
      <c r="N56" s="52"/>
      <c r="O56" s="53"/>
      <c r="P56" s="49"/>
      <c r="Q56" s="52"/>
      <c r="R56" s="53"/>
    </row>
    <row r="57" spans="2:18" ht="21.95" customHeight="1" x14ac:dyDescent="0.25">
      <c r="B57" s="57">
        <v>0.38</v>
      </c>
      <c r="C57" s="58"/>
      <c r="D57" s="61" t="s">
        <v>35</v>
      </c>
      <c r="E57" s="62"/>
      <c r="F57" s="63"/>
      <c r="G57" s="64" t="s">
        <v>17</v>
      </c>
      <c r="H57" s="66" t="s">
        <v>9</v>
      </c>
      <c r="I57" s="67"/>
      <c r="J57" s="64" t="s">
        <v>17</v>
      </c>
      <c r="K57" s="66" t="s">
        <v>9</v>
      </c>
      <c r="L57" s="67"/>
      <c r="M57" s="3" t="s">
        <v>17</v>
      </c>
      <c r="N57" s="5" t="s">
        <v>9</v>
      </c>
      <c r="O57" s="6"/>
      <c r="P57" s="3" t="s">
        <v>17</v>
      </c>
      <c r="Q57" s="5" t="s">
        <v>9</v>
      </c>
      <c r="R57" s="6"/>
    </row>
    <row r="58" spans="2:18" ht="21.95" customHeight="1" thickBot="1" x14ac:dyDescent="0.3">
      <c r="B58" s="59"/>
      <c r="C58" s="60"/>
      <c r="D58" s="54" t="s">
        <v>36</v>
      </c>
      <c r="E58" s="55"/>
      <c r="F58" s="56"/>
      <c r="G58" s="65"/>
      <c r="H58" s="68"/>
      <c r="I58" s="69"/>
      <c r="J58" s="65"/>
      <c r="K58" s="68"/>
      <c r="L58" s="69"/>
      <c r="M58" s="4"/>
      <c r="N58" s="7"/>
      <c r="O58" s="8"/>
      <c r="P58" s="4"/>
      <c r="Q58" s="7"/>
      <c r="R58" s="8"/>
    </row>
    <row r="59" spans="2:18" ht="21.95" customHeight="1" x14ac:dyDescent="0.25">
      <c r="B59" s="57">
        <v>0.01</v>
      </c>
      <c r="C59" s="58"/>
      <c r="D59" s="61" t="s">
        <v>21</v>
      </c>
      <c r="E59" s="62"/>
      <c r="F59" s="63"/>
      <c r="G59" s="64" t="s">
        <v>18</v>
      </c>
      <c r="H59" s="70" t="s">
        <v>22</v>
      </c>
      <c r="I59" s="71"/>
      <c r="J59" s="64" t="s">
        <v>18</v>
      </c>
      <c r="K59" s="70" t="s">
        <v>22</v>
      </c>
      <c r="L59" s="71"/>
      <c r="M59" s="3" t="s">
        <v>18</v>
      </c>
      <c r="N59" s="50" t="s">
        <v>22</v>
      </c>
      <c r="O59" s="51"/>
      <c r="P59" s="3" t="s">
        <v>18</v>
      </c>
      <c r="Q59" s="50" t="s">
        <v>22</v>
      </c>
      <c r="R59" s="51"/>
    </row>
    <row r="60" spans="2:18" ht="21.95" customHeight="1" thickBot="1" x14ac:dyDescent="0.3">
      <c r="B60" s="59"/>
      <c r="C60" s="60"/>
      <c r="D60" s="54">
        <v>40</v>
      </c>
      <c r="E60" s="55"/>
      <c r="F60" s="56"/>
      <c r="G60" s="65"/>
      <c r="H60" s="72"/>
      <c r="I60" s="73"/>
      <c r="J60" s="65"/>
      <c r="K60" s="72"/>
      <c r="L60" s="73"/>
      <c r="M60" s="4"/>
      <c r="N60" s="52"/>
      <c r="O60" s="53"/>
      <c r="P60" s="4"/>
      <c r="Q60" s="52"/>
      <c r="R60" s="53"/>
    </row>
    <row r="61" spans="2:18" ht="21.95" customHeight="1" x14ac:dyDescent="0.25">
      <c r="B61" s="57">
        <v>0.61</v>
      </c>
      <c r="C61" s="58"/>
      <c r="D61" s="61" t="s">
        <v>16</v>
      </c>
      <c r="E61" s="62"/>
      <c r="F61" s="63"/>
      <c r="G61" s="64" t="s">
        <v>20</v>
      </c>
      <c r="H61" s="66" t="s">
        <v>9</v>
      </c>
      <c r="I61" s="67"/>
      <c r="J61" s="64" t="s">
        <v>20</v>
      </c>
      <c r="K61" s="66" t="s">
        <v>9</v>
      </c>
      <c r="L61" s="67"/>
      <c r="M61" s="3" t="s">
        <v>20</v>
      </c>
      <c r="N61" s="5" t="s">
        <v>9</v>
      </c>
      <c r="O61" s="6"/>
      <c r="P61" s="3" t="s">
        <v>20</v>
      </c>
      <c r="Q61" s="5" t="s">
        <v>9</v>
      </c>
      <c r="R61" s="6"/>
    </row>
    <row r="62" spans="2:18" ht="21.95" customHeight="1" thickBot="1" x14ac:dyDescent="0.3">
      <c r="B62" s="59"/>
      <c r="C62" s="60"/>
      <c r="D62" s="54" t="s">
        <v>11</v>
      </c>
      <c r="E62" s="55"/>
      <c r="F62" s="56"/>
      <c r="G62" s="65"/>
      <c r="H62" s="68"/>
      <c r="I62" s="69"/>
      <c r="J62" s="65"/>
      <c r="K62" s="68"/>
      <c r="L62" s="69"/>
      <c r="M62" s="4"/>
      <c r="N62" s="7"/>
      <c r="O62" s="8"/>
      <c r="P62" s="4"/>
      <c r="Q62" s="7"/>
      <c r="R62" s="8"/>
    </row>
    <row r="63" spans="2:18" ht="21.95" customHeight="1" x14ac:dyDescent="0.25">
      <c r="B63" s="9" t="s">
        <v>43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1"/>
    </row>
    <row r="64" spans="2:18" ht="21.95" customHeight="1" x14ac:dyDescent="0.25">
      <c r="B64" s="12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4"/>
    </row>
    <row r="65" spans="2:18" ht="21.95" customHeight="1" x14ac:dyDescent="0.25">
      <c r="B65" s="12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4"/>
    </row>
    <row r="66" spans="2:18" ht="21.95" customHeight="1" thickBot="1" x14ac:dyDescent="0.3">
      <c r="B66" s="15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7"/>
    </row>
    <row r="67" spans="2:18" ht="15.75" customHeight="1" x14ac:dyDescent="0.25"/>
    <row r="68" spans="2:18" ht="15.75" customHeight="1" x14ac:dyDescent="0.25"/>
    <row r="69" spans="2:18" ht="15.75" customHeight="1" x14ac:dyDescent="0.25"/>
    <row r="70" spans="2:18" ht="15.75" customHeight="1" x14ac:dyDescent="0.25"/>
    <row r="71" spans="2:18" ht="15.75" customHeight="1" x14ac:dyDescent="0.25"/>
    <row r="72" spans="2:18" ht="15.75" customHeight="1" x14ac:dyDescent="0.25"/>
    <row r="73" spans="2:18" ht="15.75" customHeight="1" x14ac:dyDescent="0.25"/>
    <row r="74" spans="2:18" ht="15.75" customHeight="1" x14ac:dyDescent="0.25"/>
    <row r="75" spans="2:18" ht="15.75" customHeight="1" x14ac:dyDescent="0.25"/>
    <row r="76" spans="2:18" ht="15.75" customHeight="1" x14ac:dyDescent="0.25"/>
    <row r="77" spans="2:18" ht="15.75" customHeight="1" x14ac:dyDescent="0.25"/>
    <row r="78" spans="2:18" ht="15.75" customHeight="1" x14ac:dyDescent="0.25"/>
    <row r="79" spans="2:18" ht="15.75" customHeight="1" x14ac:dyDescent="0.25"/>
    <row r="80" spans="2:18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</sheetData>
  <mergeCells count="170">
    <mergeCell ref="G10:R11"/>
    <mergeCell ref="M26:M27"/>
    <mergeCell ref="D28:F28"/>
    <mergeCell ref="G28:G29"/>
    <mergeCell ref="H28:I29"/>
    <mergeCell ref="D29:F29"/>
    <mergeCell ref="J26:J27"/>
    <mergeCell ref="K26:L27"/>
    <mergeCell ref="J28:J29"/>
    <mergeCell ref="K28:L29"/>
    <mergeCell ref="H26:I27"/>
    <mergeCell ref="D27:F27"/>
    <mergeCell ref="D26:F26"/>
    <mergeCell ref="G26:G27"/>
    <mergeCell ref="N27:O27"/>
    <mergeCell ref="Q27:R27"/>
    <mergeCell ref="N26:O26"/>
    <mergeCell ref="Q26:R26"/>
    <mergeCell ref="M8:O9"/>
    <mergeCell ref="J8:L9"/>
    <mergeCell ref="J12:L13"/>
    <mergeCell ref="P26:P27"/>
    <mergeCell ref="N28:O29"/>
    <mergeCell ref="P28:P29"/>
    <mergeCell ref="Q28:R29"/>
    <mergeCell ref="P12:R13"/>
    <mergeCell ref="B18:R19"/>
    <mergeCell ref="G16:H17"/>
    <mergeCell ref="M16:N17"/>
    <mergeCell ref="E16:F17"/>
    <mergeCell ref="B20:F21"/>
    <mergeCell ref="M20:O21"/>
    <mergeCell ref="I16:I17"/>
    <mergeCell ref="Q24:R25"/>
    <mergeCell ref="D22:F23"/>
    <mergeCell ref="B22:C23"/>
    <mergeCell ref="B24:C25"/>
    <mergeCell ref="D24:F24"/>
    <mergeCell ref="M22:M23"/>
    <mergeCell ref="N22:O23"/>
    <mergeCell ref="P22:P23"/>
    <mergeCell ref="B2:D3"/>
    <mergeCell ref="O16:O17"/>
    <mergeCell ref="R16:R17"/>
    <mergeCell ref="M28:M29"/>
    <mergeCell ref="G24:G25"/>
    <mergeCell ref="H24:I25"/>
    <mergeCell ref="D25:F25"/>
    <mergeCell ref="E4:R7"/>
    <mergeCell ref="M24:M25"/>
    <mergeCell ref="N24:O25"/>
    <mergeCell ref="P16:Q17"/>
    <mergeCell ref="Q22:R23"/>
    <mergeCell ref="G20:I21"/>
    <mergeCell ref="M12:O13"/>
    <mergeCell ref="G14:H15"/>
    <mergeCell ref="P20:R21"/>
    <mergeCell ref="P14:Q15"/>
    <mergeCell ref="P24:P25"/>
    <mergeCell ref="G22:G23"/>
    <mergeCell ref="E2:R3"/>
    <mergeCell ref="M14:N15"/>
    <mergeCell ref="E8:F9"/>
    <mergeCell ref="E10:F11"/>
    <mergeCell ref="E12:F13"/>
    <mergeCell ref="J47:K48"/>
    <mergeCell ref="L47:L48"/>
    <mergeCell ref="P47:Q48"/>
    <mergeCell ref="R47:R48"/>
    <mergeCell ref="H22:I23"/>
    <mergeCell ref="B4:D17"/>
    <mergeCell ref="J20:L21"/>
    <mergeCell ref="J22:J23"/>
    <mergeCell ref="K22:L23"/>
    <mergeCell ref="J24:J25"/>
    <mergeCell ref="K24:L25"/>
    <mergeCell ref="G12:I13"/>
    <mergeCell ref="J14:K15"/>
    <mergeCell ref="L14:L15"/>
    <mergeCell ref="J16:K17"/>
    <mergeCell ref="L16:L17"/>
    <mergeCell ref="B28:C29"/>
    <mergeCell ref="B26:C27"/>
    <mergeCell ref="E14:F15"/>
    <mergeCell ref="P8:R9"/>
    <mergeCell ref="G8:I9"/>
    <mergeCell ref="O14:O15"/>
    <mergeCell ref="I14:I15"/>
    <mergeCell ref="R14:R15"/>
    <mergeCell ref="E49:F50"/>
    <mergeCell ref="G49:H50"/>
    <mergeCell ref="I49:I50"/>
    <mergeCell ref="J49:K50"/>
    <mergeCell ref="L49:L50"/>
    <mergeCell ref="P49:Q50"/>
    <mergeCell ref="R49:R50"/>
    <mergeCell ref="B35:D36"/>
    <mergeCell ref="E35:R36"/>
    <mergeCell ref="B37:D50"/>
    <mergeCell ref="E37:R40"/>
    <mergeCell ref="E41:F42"/>
    <mergeCell ref="G41:I42"/>
    <mergeCell ref="J41:L42"/>
    <mergeCell ref="P41:R42"/>
    <mergeCell ref="E43:F44"/>
    <mergeCell ref="G43:R44"/>
    <mergeCell ref="E45:F46"/>
    <mergeCell ref="G45:I46"/>
    <mergeCell ref="J45:L46"/>
    <mergeCell ref="P45:R46"/>
    <mergeCell ref="E47:F48"/>
    <mergeCell ref="G47:H48"/>
    <mergeCell ref="I47:I48"/>
    <mergeCell ref="B51:R52"/>
    <mergeCell ref="B53:F54"/>
    <mergeCell ref="G53:I54"/>
    <mergeCell ref="J53:L54"/>
    <mergeCell ref="P53:R54"/>
    <mergeCell ref="B55:C56"/>
    <mergeCell ref="D55:F56"/>
    <mergeCell ref="G55:G56"/>
    <mergeCell ref="H55:I56"/>
    <mergeCell ref="J55:J56"/>
    <mergeCell ref="K55:L56"/>
    <mergeCell ref="P55:P56"/>
    <mergeCell ref="Q55:R56"/>
    <mergeCell ref="D59:F59"/>
    <mergeCell ref="G59:G60"/>
    <mergeCell ref="H59:I60"/>
    <mergeCell ref="J59:J60"/>
    <mergeCell ref="K59:L60"/>
    <mergeCell ref="P59:P60"/>
    <mergeCell ref="Q59:R60"/>
    <mergeCell ref="D60:F60"/>
    <mergeCell ref="B57:C58"/>
    <mergeCell ref="D57:F57"/>
    <mergeCell ref="G57:G58"/>
    <mergeCell ref="H57:I58"/>
    <mergeCell ref="J57:J58"/>
    <mergeCell ref="K57:L58"/>
    <mergeCell ref="P57:P58"/>
    <mergeCell ref="Q57:R58"/>
    <mergeCell ref="M57:M58"/>
    <mergeCell ref="N57:O58"/>
    <mergeCell ref="M59:M60"/>
    <mergeCell ref="N59:O60"/>
    <mergeCell ref="M61:M62"/>
    <mergeCell ref="N61:O62"/>
    <mergeCell ref="B63:R66"/>
    <mergeCell ref="B30:R33"/>
    <mergeCell ref="M41:O42"/>
    <mergeCell ref="M45:O46"/>
    <mergeCell ref="M47:N48"/>
    <mergeCell ref="O47:O48"/>
    <mergeCell ref="M49:N50"/>
    <mergeCell ref="O49:O50"/>
    <mergeCell ref="M53:O54"/>
    <mergeCell ref="M55:M56"/>
    <mergeCell ref="N55:O56"/>
    <mergeCell ref="D62:F62"/>
    <mergeCell ref="B61:C62"/>
    <mergeCell ref="D61:F61"/>
    <mergeCell ref="G61:G62"/>
    <mergeCell ref="H61:I62"/>
    <mergeCell ref="J61:J62"/>
    <mergeCell ref="K61:L62"/>
    <mergeCell ref="P61:P62"/>
    <mergeCell ref="Q61:R62"/>
    <mergeCell ref="D58:F58"/>
    <mergeCell ref="B59:C60"/>
  </mergeCells>
  <phoneticPr fontId="6" type="noConversion"/>
  <printOptions horizontalCentered="1"/>
  <pageMargins left="0.11811023622047245" right="0.11811023622047245" top="0.27559055118110237" bottom="0" header="0.19685039370078741" footer="0"/>
  <pageSetup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2025-11-28T20:03:16Z</cp:lastPrinted>
  <dcterms:created xsi:type="dcterms:W3CDTF">2023-10-31T20:19:37Z</dcterms:created>
  <dcterms:modified xsi:type="dcterms:W3CDTF">2025-11-28T20:06:59Z</dcterms:modified>
  <dc:language>es-MX</dc:language>
</cp:coreProperties>
</file>