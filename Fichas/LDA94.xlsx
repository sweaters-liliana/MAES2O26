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LDA94\"/>
    </mc:Choice>
  </mc:AlternateContent>
  <xr:revisionPtr revIDLastSave="0" documentId="13_ncr:1_{FC7BF6E1-4D0C-40F9-A974-0B9B2897D49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" sheetId="4" r:id="rId1"/>
    <sheet name="FICHA ANTIGUA" sheetId="1" r:id="rId2"/>
    <sheet name="MAQUINAS" sheetId="2" r:id="rId3"/>
    <sheet name="SOLICITUD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3" l="1"/>
  <c r="A8" i="3"/>
  <c r="A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</authors>
  <commentList>
    <comment ref="A7" authorId="0" shapeId="0" xr:uid="{9CB5DB44-CCB9-4C24-9FDF-5391D8F01F66}">
      <text>
        <r>
          <rPr>
            <b/>
            <sz val="9"/>
            <color indexed="81"/>
            <rFont val="Tahoma"/>
            <family val="2"/>
          </rPr>
          <t xml:space="preserve">ÉSTA FORMULA SUMA EL PESO DEL STRAPLESS, ML Y CUELLO, LO CONVIERTE EN GRAMOS Y AL FINAL MUESTRA LOS KILOS NECESARIOS + 10%
</t>
        </r>
      </text>
    </comment>
  </commentList>
</comments>
</file>

<file path=xl/sharedStrings.xml><?xml version="1.0" encoding="utf-8"?>
<sst xmlns="http://schemas.openxmlformats.org/spreadsheetml/2006/main" count="122" uniqueCount="64">
  <si>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</si>
  <si>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</si>
  <si>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</si>
  <si>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</si>
  <si>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</si>
  <si>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</si>
  <si>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</si>
  <si>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</si>
  <si>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</si>
  <si>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</si>
  <si>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</si>
  <si>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GUIA HILO</t>
  </si>
  <si>
    <t>SISTEMAS</t>
  </si>
  <si>
    <t>TODOS</t>
  </si>
  <si>
    <t>NYLON</t>
  </si>
  <si>
    <t>ENHEBRADO PUENTES</t>
  </si>
  <si>
    <t>NARANJA</t>
  </si>
  <si>
    <t>LICRA PARIS</t>
  </si>
  <si>
    <t>20/33/34</t>
  </si>
  <si>
    <t>LDA94#1</t>
  </si>
  <si>
    <t>STRAPLESS</t>
  </si>
  <si>
    <t>MANGA L</t>
  </si>
  <si>
    <t>CUELLO</t>
  </si>
  <si>
    <t>MLDA94#1</t>
  </si>
  <si>
    <t>CLDA94#1</t>
  </si>
  <si>
    <t>LDA94#6</t>
  </si>
  <si>
    <t>MLDA94#6</t>
  </si>
  <si>
    <t>CLDA94#6</t>
  </si>
  <si>
    <t>UNITALLA MAQUINA #1</t>
  </si>
  <si>
    <t>UNITALLA MAQUINA #6</t>
  </si>
  <si>
    <t>BLUSA STRAPLESS M/L CUELLO MEDIO RUSO ENCAJE</t>
  </si>
  <si>
    <t>MAQUINA</t>
  </si>
  <si>
    <t>CUERPO:</t>
  </si>
  <si>
    <t>MANGA</t>
  </si>
  <si>
    <t>DIAMETRO 14</t>
  </si>
  <si>
    <t>70/68</t>
  </si>
  <si>
    <t>#5</t>
  </si>
  <si>
    <t>#2</t>
  </si>
  <si>
    <t>+</t>
  </si>
  <si>
    <t>SIS.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</si>
  <si>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</si>
  <si>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%</t>
  </si>
  <si>
    <t>CIXING</t>
  </si>
  <si>
    <t>TIPO DE MAQUINA</t>
  </si>
  <si>
    <t>ENHEBRADO</t>
  </si>
  <si>
    <t>PESO + 10%:</t>
  </si>
  <si>
    <t>UNITALLA</t>
  </si>
  <si>
    <t>LICRA  MIAMI</t>
  </si>
  <si>
    <t>20/40/24</t>
  </si>
  <si>
    <t>REQUISICION HILATURA LIKRA</t>
  </si>
  <si>
    <t>NOTA</t>
  </si>
  <si>
    <t>Sweters Liliana S.A. de C.V.</t>
  </si>
  <si>
    <t>KILOS</t>
  </si>
  <si>
    <t>TORSION</t>
  </si>
  <si>
    <t>DESCRIPCION</t>
  </si>
  <si>
    <t>MODELO</t>
  </si>
  <si>
    <t>CLIENTE</t>
  </si>
  <si>
    <t>Piezas</t>
  </si>
  <si>
    <t>S</t>
  </si>
  <si>
    <t>Z</t>
  </si>
  <si>
    <t>LDA94</t>
  </si>
  <si>
    <t>NO SE xd</t>
  </si>
  <si>
    <t>LICRA MIAMI 20/40/24</t>
  </si>
  <si>
    <t>FORMULA PARA MODELO DE 3 PIEZAS CON LICRA 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</si>
</sst>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F800]dddd\,\ mmmm\ dd\,\ yyyy"/>
    <numFmt numFmtId="166" formatCode="0.000"/>
  </numFmts>
  <fonts count="48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sz val="11"/>
      <color theme="1"/>
      <name val="Consolas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  <font>
      <sz val="11"/>
      <color theme="1"/>
      <name val="Arial Black"/>
      <family val="2"/>
    </font>
    <font>
      <sz val="11"/>
      <color theme="1"/>
      <name val="Calibri"/>
      <family val="2"/>
    </font>
    <font>
      <b/>
      <sz val="18"/>
      <name val="Consolas"/>
      <family val="3"/>
    </font>
    <font>
      <b/>
      <sz val="16"/>
      <color theme="0"/>
      <name val="Consolas"/>
      <family val="3"/>
    </font>
    <font>
      <b/>
      <sz val="14"/>
      <name val="Consolas"/>
      <family val="3"/>
    </font>
    <font>
      <sz val="14"/>
      <color theme="1"/>
      <name val="Consolas"/>
      <family val="3"/>
    </font>
    <font>
      <b/>
      <sz val="16"/>
      <color rgb="FFFFFF00"/>
      <name val="Consolas"/>
      <family val="3"/>
    </font>
    <font>
      <b/>
      <sz val="16"/>
      <color theme="1"/>
      <name val="Consolas"/>
      <family val="3"/>
    </font>
    <font>
      <b/>
      <sz val="24"/>
      <color rgb="FFFFFF00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20"/>
      <color rgb="FFFFFF00"/>
      <name val="Consolas"/>
      <family val="3"/>
    </font>
    <font>
      <sz val="8"/>
      <color rgb="FF000000"/>
      <name val="Consolas"/>
      <family val="3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1"/>
      <color rgb="FF000000"/>
      <name val="Arial"/>
      <family val="2"/>
    </font>
    <font>
      <b/>
      <sz val="26"/>
      <color theme="1"/>
      <name val="Arial"/>
      <family val="2"/>
    </font>
    <font>
      <b/>
      <sz val="16"/>
      <color theme="0"/>
      <name val="Arial"/>
      <family val="2"/>
    </font>
    <font>
      <sz val="14"/>
      <color theme="1"/>
      <name val="Calibri"/>
      <family val="2"/>
    </font>
    <font>
      <b/>
      <sz val="16"/>
      <color theme="1"/>
      <name val="Arial"/>
      <family val="2"/>
    </font>
    <font>
      <b/>
      <i/>
      <sz val="20"/>
      <color theme="1"/>
      <name val="Calibri"/>
      <family val="2"/>
    </font>
    <font>
      <b/>
      <sz val="14"/>
      <color theme="1"/>
      <name val="Arial"/>
      <family val="2"/>
    </font>
    <font>
      <sz val="16"/>
      <color theme="1"/>
      <name val="Calibri"/>
      <family val="2"/>
    </font>
    <font>
      <sz val="14"/>
      <color theme="1"/>
      <name val="Arial"/>
      <family val="2"/>
    </font>
    <font>
      <sz val="18"/>
      <color theme="1"/>
      <name val="Bernard MT Condensed"/>
      <family val="1"/>
    </font>
    <font>
      <sz val="14"/>
      <color theme="1"/>
      <name val="Arial Black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rgb="FF0066CC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5" fillId="0" borderId="0" xfId="0" applyFont="1"/>
    <xf numFmtId="0" fontId="11" fillId="3" borderId="0" xfId="0" applyFont="1" applyFill="1" applyAlignment="1">
      <alignment vertical="center" wrapText="1"/>
    </xf>
    <xf numFmtId="0" fontId="1" fillId="0" borderId="0" xfId="0" applyFont="1"/>
    <xf numFmtId="0" fontId="4" fillId="3" borderId="0" xfId="0" applyFont="1" applyFill="1" applyAlignment="1">
      <alignment vertical="center" wrapText="1"/>
    </xf>
    <xf numFmtId="0" fontId="7" fillId="3" borderId="0" xfId="0" applyFont="1" applyFill="1"/>
    <xf numFmtId="0" fontId="10" fillId="0" borderId="0" xfId="0" applyFont="1"/>
    <xf numFmtId="0" fontId="13" fillId="3" borderId="0" xfId="0" applyFont="1" applyFill="1"/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38" xfId="0" applyFont="1" applyBorder="1"/>
    <xf numFmtId="0" fontId="20" fillId="0" borderId="39" xfId="0" applyFont="1" applyBorder="1"/>
    <xf numFmtId="0" fontId="19" fillId="0" borderId="38" xfId="0" applyFont="1" applyBorder="1" applyAlignment="1">
      <alignment horizontal="center" vertical="center"/>
    </xf>
    <xf numFmtId="0" fontId="36" fillId="0" borderId="0" xfId="0" applyFont="1"/>
    <xf numFmtId="0" fontId="39" fillId="0" borderId="0" xfId="0" applyFont="1"/>
    <xf numFmtId="0" fontId="40" fillId="0" borderId="44" xfId="0" applyFont="1" applyBorder="1" applyAlignment="1">
      <alignment horizontal="right" vertical="center"/>
    </xf>
    <xf numFmtId="0" fontId="40" fillId="0" borderId="45" xfId="0" applyFont="1" applyBorder="1" applyAlignment="1">
      <alignment horizontal="left" vertical="center"/>
    </xf>
    <xf numFmtId="165" fontId="42" fillId="0" borderId="0" xfId="0" applyNumberFormat="1" applyFont="1" applyAlignment="1">
      <alignment horizontal="center" vertical="center"/>
    </xf>
    <xf numFmtId="0" fontId="39" fillId="11" borderId="0" xfId="0" applyFont="1" applyFill="1"/>
    <xf numFmtId="0" fontId="39" fillId="11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2" fontId="43" fillId="0" borderId="38" xfId="0" applyNumberFormat="1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39" fillId="0" borderId="38" xfId="0" applyFont="1" applyBorder="1" applyAlignment="1">
      <alignment horizontal="center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4" fillId="3" borderId="19" xfId="0" applyFont="1" applyFill="1" applyBorder="1" applyAlignment="1">
      <alignment horizontal="center" vertical="center" wrapText="1"/>
    </xf>
    <xf numFmtId="0" fontId="34" fillId="3" borderId="20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33" fillId="8" borderId="4" xfId="0" applyFont="1" applyFill="1" applyBorder="1" applyAlignment="1">
      <alignment horizontal="right" vertical="center" wrapText="1"/>
    </xf>
    <xf numFmtId="46" fontId="31" fillId="3" borderId="27" xfId="0" applyNumberFormat="1" applyFont="1" applyFill="1" applyBorder="1" applyAlignment="1">
      <alignment horizontal="center" vertical="center" wrapText="1"/>
    </xf>
    <xf numFmtId="46" fontId="31" fillId="3" borderId="26" xfId="0" applyNumberFormat="1" applyFont="1" applyFill="1" applyBorder="1" applyAlignment="1">
      <alignment horizontal="center" vertical="center" wrapText="1"/>
    </xf>
    <xf numFmtId="46" fontId="31" fillId="4" borderId="17" xfId="0" applyNumberFormat="1" applyFont="1" applyFill="1" applyBorder="1" applyAlignment="1">
      <alignment horizontal="center" vertical="center" wrapText="1"/>
    </xf>
    <xf numFmtId="46" fontId="31" fillId="4" borderId="20" xfId="0" applyNumberFormat="1" applyFont="1" applyFill="1" applyBorder="1" applyAlignment="1">
      <alignment horizontal="center" vertical="center" wrapText="1"/>
    </xf>
    <xf numFmtId="0" fontId="30" fillId="7" borderId="34" xfId="0" applyFont="1" applyFill="1" applyBorder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30" fillId="7" borderId="25" xfId="0" applyFont="1" applyFill="1" applyBorder="1" applyAlignment="1">
      <alignment horizontal="center" vertical="center" wrapText="1"/>
    </xf>
    <xf numFmtId="0" fontId="30" fillId="7" borderId="19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7" fillId="8" borderId="24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45" fontId="32" fillId="4" borderId="15" xfId="0" applyNumberFormat="1" applyFont="1" applyFill="1" applyBorder="1" applyAlignment="1">
      <alignment horizontal="center" vertical="center" wrapText="1"/>
    </xf>
    <xf numFmtId="45" fontId="32" fillId="4" borderId="16" xfId="0" applyNumberFormat="1" applyFont="1" applyFill="1" applyBorder="1" applyAlignment="1">
      <alignment horizontal="center" vertical="center" wrapText="1"/>
    </xf>
    <xf numFmtId="45" fontId="32" fillId="4" borderId="18" xfId="0" applyNumberFormat="1" applyFont="1" applyFill="1" applyBorder="1" applyAlignment="1">
      <alignment horizontal="center" vertical="center" wrapText="1"/>
    </xf>
    <xf numFmtId="45" fontId="32" fillId="4" borderId="19" xfId="0" applyNumberFormat="1" applyFont="1" applyFill="1" applyBorder="1" applyAlignment="1">
      <alignment horizontal="center" vertical="center" wrapText="1"/>
    </xf>
    <xf numFmtId="45" fontId="32" fillId="3" borderId="15" xfId="0" applyNumberFormat="1" applyFont="1" applyFill="1" applyBorder="1" applyAlignment="1">
      <alignment horizontal="center" vertical="center" wrapText="1"/>
    </xf>
    <xf numFmtId="45" fontId="32" fillId="3" borderId="16" xfId="0" applyNumberFormat="1" applyFont="1" applyFill="1" applyBorder="1" applyAlignment="1">
      <alignment horizontal="center" vertical="center" wrapText="1"/>
    </xf>
    <xf numFmtId="45" fontId="32" fillId="3" borderId="18" xfId="0" applyNumberFormat="1" applyFont="1" applyFill="1" applyBorder="1" applyAlignment="1">
      <alignment horizontal="center" vertical="center" wrapText="1"/>
    </xf>
    <xf numFmtId="45" fontId="32" fillId="3" borderId="19" xfId="0" applyNumberFormat="1" applyFont="1" applyFill="1" applyBorder="1" applyAlignment="1">
      <alignment horizontal="center" vertical="center" wrapText="1"/>
    </xf>
    <xf numFmtId="0" fontId="31" fillId="3" borderId="27" xfId="0" applyFont="1" applyFill="1" applyBorder="1" applyAlignment="1">
      <alignment horizontal="center" vertical="center" wrapText="1"/>
    </xf>
    <xf numFmtId="0" fontId="31" fillId="3" borderId="26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4" borderId="16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34" fillId="4" borderId="19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23" fillId="4" borderId="20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41" xfId="0" applyFont="1" applyFill="1" applyBorder="1" applyAlignment="1">
      <alignment horizontal="center" vertical="center" wrapText="1"/>
    </xf>
    <xf numFmtId="0" fontId="35" fillId="8" borderId="4" xfId="0" applyFont="1" applyFill="1" applyBorder="1" applyAlignment="1">
      <alignment horizontal="right" vertical="center" wrapText="1"/>
    </xf>
    <xf numFmtId="0" fontId="35" fillId="8" borderId="40" xfId="0" applyFont="1" applyFill="1" applyBorder="1" applyAlignment="1">
      <alignment horizontal="right" vertical="center" wrapText="1"/>
    </xf>
    <xf numFmtId="0" fontId="27" fillId="8" borderId="24" xfId="0" applyFont="1" applyFill="1" applyBorder="1" applyAlignment="1">
      <alignment horizontal="center" vertical="center"/>
    </xf>
    <xf numFmtId="0" fontId="27" fillId="8" borderId="16" xfId="0" applyFont="1" applyFill="1" applyBorder="1" applyAlignment="1">
      <alignment horizontal="center" vertical="center"/>
    </xf>
    <xf numFmtId="0" fontId="27" fillId="8" borderId="17" xfId="0" applyFont="1" applyFill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 wrapText="1"/>
    </xf>
    <xf numFmtId="0" fontId="31" fillId="4" borderId="20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4" fillId="5" borderId="23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7" fillId="7" borderId="24" xfId="0" applyFont="1" applyFill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center" vertical="center" wrapText="1"/>
    </xf>
    <xf numFmtId="0" fontId="27" fillId="7" borderId="25" xfId="0" applyFont="1" applyFill="1" applyBorder="1" applyAlignment="1">
      <alignment horizontal="center" vertical="center" wrapText="1"/>
    </xf>
    <xf numFmtId="0" fontId="27" fillId="7" borderId="26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4" borderId="19" xfId="0" applyFont="1" applyFill="1" applyBorder="1" applyAlignment="1">
      <alignment horizontal="center" vertical="center" wrapText="1"/>
    </xf>
    <xf numFmtId="164" fontId="25" fillId="7" borderId="24" xfId="0" applyNumberFormat="1" applyFont="1" applyFill="1" applyBorder="1" applyAlignment="1">
      <alignment horizontal="center" vertical="center" wrapText="1"/>
    </xf>
    <xf numFmtId="164" fontId="25" fillId="7" borderId="27" xfId="0" applyNumberFormat="1" applyFont="1" applyFill="1" applyBorder="1" applyAlignment="1">
      <alignment horizontal="center" vertical="center" wrapText="1"/>
    </xf>
    <xf numFmtId="164" fontId="25" fillId="7" borderId="25" xfId="0" applyNumberFormat="1" applyFont="1" applyFill="1" applyBorder="1" applyAlignment="1">
      <alignment horizontal="center" vertical="center" wrapText="1"/>
    </xf>
    <xf numFmtId="164" fontId="25" fillId="7" borderId="26" xfId="0" applyNumberFormat="1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2" fillId="6" borderId="27" xfId="0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horizontal="center" vertical="center" wrapText="1"/>
    </xf>
    <xf numFmtId="0" fontId="22" fillId="6" borderId="26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9" borderId="25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45" fontId="9" fillId="3" borderId="36" xfId="0" applyNumberFormat="1" applyFont="1" applyFill="1" applyBorder="1" applyAlignment="1">
      <alignment horizontal="center" vertical="center" wrapText="1"/>
    </xf>
    <xf numFmtId="46" fontId="9" fillId="3" borderId="7" xfId="0" applyNumberFormat="1" applyFont="1" applyFill="1" applyBorder="1" applyAlignment="1">
      <alignment horizontal="center" vertical="center" wrapText="1"/>
    </xf>
    <xf numFmtId="46" fontId="9" fillId="3" borderId="6" xfId="0" applyNumberFormat="1" applyFont="1" applyFill="1" applyBorder="1" applyAlignment="1">
      <alignment horizontal="center" vertical="center" wrapText="1"/>
    </xf>
    <xf numFmtId="45" fontId="9" fillId="3" borderId="5" xfId="0" applyNumberFormat="1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8" fillId="10" borderId="42" xfId="0" applyFont="1" applyFill="1" applyBorder="1" applyAlignment="1">
      <alignment horizontal="center" vertical="center"/>
    </xf>
    <xf numFmtId="0" fontId="38" fillId="10" borderId="43" xfId="0" applyFont="1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165" fontId="42" fillId="0" borderId="0" xfId="0" applyNumberFormat="1" applyFont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19050</xdr:rowOff>
    </xdr:from>
    <xdr:to>
      <xdr:col>3</xdr:col>
      <xdr:colOff>495300</xdr:colOff>
      <xdr:row>16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E7E0A42-0672-4FE6-BC0D-C4E5710E70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39" t="5272" r="9238" b="9504"/>
        <a:stretch/>
      </xdr:blipFill>
      <xdr:spPr>
        <a:xfrm>
          <a:off x="114300" y="485775"/>
          <a:ext cx="1600200" cy="259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16626</xdr:colOff>
      <xdr:row>3</xdr:row>
      <xdr:rowOff>26391</xdr:rowOff>
    </xdr:from>
    <xdr:to>
      <xdr:col>3</xdr:col>
      <xdr:colOff>623454</xdr:colOff>
      <xdr:row>16</xdr:row>
      <xdr:rowOff>201321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39" t="2452" r="9238" b="3416"/>
        <a:stretch/>
      </xdr:blipFill>
      <xdr:spPr>
        <a:xfrm>
          <a:off x="133004" y="550093"/>
          <a:ext cx="1895301" cy="3017883"/>
        </a:xfrm>
        <a:prstGeom prst="rect">
          <a:avLst/>
        </a:prstGeom>
      </xdr:spPr>
    </xdr:pic>
    <xdr:clientData/>
  </xdr:twoCellAnchor>
  <xdr:twoCellAnchor editAs="oneCell">
    <xdr:from>
      <xdr:col>1</xdr:col>
      <xdr:colOff>8313</xdr:colOff>
      <xdr:row>20</xdr:row>
      <xdr:rowOff>24939</xdr:rowOff>
    </xdr:from>
    <xdr:to>
      <xdr:col>3</xdr:col>
      <xdr:colOff>631767</xdr:colOff>
      <xdr:row>27</xdr:row>
      <xdr:rowOff>207819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1" t="5183" r="2033" b="30488"/>
        <a:stretch/>
      </xdr:blipFill>
      <xdr:spPr>
        <a:xfrm>
          <a:off x="124691" y="4197928"/>
          <a:ext cx="1911927" cy="1753986"/>
        </a:xfrm>
        <a:prstGeom prst="rect">
          <a:avLst/>
        </a:prstGeom>
      </xdr:spPr>
    </xdr:pic>
    <xdr:clientData/>
  </xdr:twoCellAnchor>
  <xdr:twoCellAnchor editAs="oneCell">
    <xdr:from>
      <xdr:col>1</xdr:col>
      <xdr:colOff>16627</xdr:colOff>
      <xdr:row>31</xdr:row>
      <xdr:rowOff>33251</xdr:rowOff>
    </xdr:from>
    <xdr:to>
      <xdr:col>3</xdr:col>
      <xdr:colOff>631768</xdr:colOff>
      <xdr:row>38</xdr:row>
      <xdr:rowOff>207819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9" t="4790" r="15996" b="49739"/>
        <a:stretch/>
      </xdr:blipFill>
      <xdr:spPr>
        <a:xfrm>
          <a:off x="133005" y="6525491"/>
          <a:ext cx="1903614" cy="1745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EA42-0D4B-49DA-9AE7-0EF7471192C2}">
  <dimension ref="A1:R938"/>
  <sheetViews>
    <sheetView showGridLines="0" zoomScaleNormal="100" workbookViewId="0">
      <selection activeCell="P16" sqref="P16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5.25" customHeight="1" thickBot="1" x14ac:dyDescent="0.3">
      <c r="A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5.95" customHeight="1" thickBot="1" x14ac:dyDescent="0.3">
      <c r="B2" s="106" t="s">
        <v>1</v>
      </c>
      <c r="C2" s="106"/>
      <c r="D2" s="106"/>
      <c r="E2" s="110" t="s">
        <v>2</v>
      </c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15.95" customHeight="1" x14ac:dyDescent="0.25">
      <c r="B3" s="107"/>
      <c r="C3" s="107"/>
      <c r="D3" s="107"/>
      <c r="E3" s="113"/>
      <c r="F3" s="114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x14ac:dyDescent="0.25">
      <c r="B4" s="138"/>
      <c r="C4" s="139"/>
      <c r="D4" s="140"/>
      <c r="E4" s="51" t="s">
        <v>30</v>
      </c>
      <c r="F4" s="52"/>
      <c r="G4" s="52"/>
      <c r="H4" s="52"/>
      <c r="I4" s="52"/>
      <c r="J4" s="52"/>
      <c r="K4" s="52"/>
      <c r="L4" s="52"/>
      <c r="M4" s="52"/>
      <c r="N4" s="52"/>
      <c r="O4" s="53"/>
    </row>
    <row r="5" spans="1:15" ht="12.95" customHeight="1" x14ac:dyDescent="0.25">
      <c r="B5" s="138"/>
      <c r="C5" s="139"/>
      <c r="D5" s="140"/>
      <c r="E5" s="51"/>
      <c r="F5" s="52"/>
      <c r="G5" s="52"/>
      <c r="H5" s="52"/>
      <c r="I5" s="52"/>
      <c r="J5" s="52"/>
      <c r="K5" s="52"/>
      <c r="L5" s="52"/>
      <c r="M5" s="52"/>
      <c r="N5" s="52"/>
      <c r="O5" s="53"/>
    </row>
    <row r="6" spans="1:15" ht="20.25" customHeight="1" x14ac:dyDescent="0.25">
      <c r="B6" s="138"/>
      <c r="C6" s="139"/>
      <c r="D6" s="140"/>
      <c r="E6" s="51"/>
      <c r="F6" s="52"/>
      <c r="G6" s="52"/>
      <c r="H6" s="52"/>
      <c r="I6" s="52"/>
      <c r="J6" s="52"/>
      <c r="K6" s="52"/>
      <c r="L6" s="52"/>
      <c r="M6" s="52"/>
      <c r="N6" s="52"/>
      <c r="O6" s="53"/>
    </row>
    <row r="7" spans="1:15" ht="4.5" customHeight="1" thickBot="1" x14ac:dyDescent="0.3">
      <c r="B7" s="138"/>
      <c r="C7" s="139"/>
      <c r="D7" s="140"/>
      <c r="E7" s="54"/>
      <c r="F7" s="55"/>
      <c r="G7" s="55"/>
      <c r="H7" s="55"/>
      <c r="I7" s="55"/>
      <c r="J7" s="55"/>
      <c r="K7" s="55"/>
      <c r="L7" s="55"/>
      <c r="M7" s="55"/>
      <c r="N7" s="55"/>
      <c r="O7" s="56"/>
    </row>
    <row r="8" spans="1:15" ht="15.95" customHeight="1" thickBot="1" x14ac:dyDescent="0.3">
      <c r="B8" s="138"/>
      <c r="C8" s="139"/>
      <c r="D8" s="140"/>
      <c r="E8" s="71" t="s">
        <v>4</v>
      </c>
      <c r="F8" s="71"/>
      <c r="G8" s="57" t="s">
        <v>46</v>
      </c>
      <c r="H8" s="58"/>
      <c r="I8" s="58"/>
      <c r="J8" s="58"/>
      <c r="K8" s="58"/>
      <c r="L8" s="58"/>
      <c r="M8" s="58"/>
      <c r="N8" s="58"/>
      <c r="O8" s="59"/>
    </row>
    <row r="9" spans="1:15" ht="15.95" customHeight="1" thickBot="1" x14ac:dyDescent="0.3">
      <c r="B9" s="138"/>
      <c r="C9" s="139"/>
      <c r="D9" s="140"/>
      <c r="E9" s="71"/>
      <c r="F9" s="71"/>
      <c r="G9" s="60"/>
      <c r="H9" s="61"/>
      <c r="I9" s="61"/>
      <c r="J9" s="61"/>
      <c r="K9" s="61"/>
      <c r="L9" s="61"/>
      <c r="M9" s="61"/>
      <c r="N9" s="61"/>
      <c r="O9" s="62"/>
    </row>
    <row r="10" spans="1:15" ht="15.95" customHeight="1" thickBot="1" x14ac:dyDescent="0.3">
      <c r="B10" s="138"/>
      <c r="C10" s="139"/>
      <c r="D10" s="140"/>
      <c r="E10" s="71" t="s">
        <v>3</v>
      </c>
      <c r="F10" s="71"/>
      <c r="G10" s="39" t="s">
        <v>20</v>
      </c>
      <c r="H10" s="40"/>
      <c r="I10" s="63"/>
      <c r="J10" s="39" t="s">
        <v>21</v>
      </c>
      <c r="K10" s="40"/>
      <c r="L10" s="63"/>
      <c r="M10" s="65" t="s">
        <v>22</v>
      </c>
      <c r="N10" s="66"/>
      <c r="O10" s="67"/>
    </row>
    <row r="11" spans="1:15" ht="15.95" customHeight="1" thickBot="1" x14ac:dyDescent="0.3">
      <c r="B11" s="138"/>
      <c r="C11" s="139"/>
      <c r="D11" s="140"/>
      <c r="E11" s="71"/>
      <c r="F11" s="71"/>
      <c r="G11" s="42"/>
      <c r="H11" s="43"/>
      <c r="I11" s="64"/>
      <c r="J11" s="42"/>
      <c r="K11" s="43"/>
      <c r="L11" s="64"/>
      <c r="M11" s="68"/>
      <c r="N11" s="69"/>
      <c r="O11" s="70"/>
    </row>
    <row r="12" spans="1:15" ht="15.95" customHeight="1" thickBot="1" x14ac:dyDescent="0.3">
      <c r="B12" s="138"/>
      <c r="C12" s="139"/>
      <c r="D12" s="140"/>
      <c r="E12" s="71" t="s">
        <v>5</v>
      </c>
      <c r="F12" s="71"/>
      <c r="G12" s="39" t="s">
        <v>19</v>
      </c>
      <c r="H12" s="40"/>
      <c r="I12" s="63"/>
      <c r="J12" s="39" t="s">
        <v>23</v>
      </c>
      <c r="K12" s="40"/>
      <c r="L12" s="63"/>
      <c r="M12" s="39" t="s">
        <v>24</v>
      </c>
      <c r="N12" s="40"/>
      <c r="O12" s="41"/>
    </row>
    <row r="13" spans="1:15" ht="15.95" customHeight="1" thickBot="1" x14ac:dyDescent="0.3">
      <c r="B13" s="138"/>
      <c r="C13" s="139"/>
      <c r="D13" s="140"/>
      <c r="E13" s="71"/>
      <c r="F13" s="71"/>
      <c r="G13" s="42"/>
      <c r="H13" s="43"/>
      <c r="I13" s="64"/>
      <c r="J13" s="42"/>
      <c r="K13" s="43"/>
      <c r="L13" s="64"/>
      <c r="M13" s="42"/>
      <c r="N13" s="43"/>
      <c r="O13" s="44"/>
    </row>
    <row r="14" spans="1:15" ht="15.95" customHeight="1" thickBot="1" x14ac:dyDescent="0.3">
      <c r="B14" s="138"/>
      <c r="C14" s="139"/>
      <c r="D14" s="140"/>
      <c r="E14" s="108" t="s">
        <v>45</v>
      </c>
      <c r="F14" s="109"/>
      <c r="G14" s="57">
        <v>102</v>
      </c>
      <c r="H14" s="58"/>
      <c r="I14" s="96" t="s">
        <v>7</v>
      </c>
      <c r="J14" s="57">
        <v>102</v>
      </c>
      <c r="K14" s="58"/>
      <c r="L14" s="96" t="s">
        <v>7</v>
      </c>
      <c r="M14" s="98">
        <v>31</v>
      </c>
      <c r="N14" s="99"/>
      <c r="O14" s="116" t="s">
        <v>7</v>
      </c>
    </row>
    <row r="15" spans="1:15" ht="15.95" customHeight="1" thickBot="1" x14ac:dyDescent="0.3">
      <c r="B15" s="138"/>
      <c r="C15" s="139"/>
      <c r="D15" s="140"/>
      <c r="E15" s="108"/>
      <c r="F15" s="109"/>
      <c r="G15" s="60"/>
      <c r="H15" s="61"/>
      <c r="I15" s="97"/>
      <c r="J15" s="60"/>
      <c r="K15" s="61"/>
      <c r="L15" s="97"/>
      <c r="M15" s="100"/>
      <c r="N15" s="101"/>
      <c r="O15" s="117"/>
    </row>
    <row r="16" spans="1:15" ht="15.95" customHeight="1" thickBot="1" x14ac:dyDescent="0.3">
      <c r="B16" s="138"/>
      <c r="C16" s="139"/>
      <c r="D16" s="140"/>
      <c r="E16" s="71" t="s">
        <v>8</v>
      </c>
      <c r="F16" s="71"/>
      <c r="G16" s="92">
        <v>4.5138888888888893E-3</v>
      </c>
      <c r="H16" s="93"/>
      <c r="I16" s="72" t="s">
        <v>9</v>
      </c>
      <c r="J16" s="92">
        <v>5.2662037037037035E-3</v>
      </c>
      <c r="K16" s="93"/>
      <c r="L16" s="72" t="s">
        <v>9</v>
      </c>
      <c r="M16" s="88">
        <v>3.2754629629629631E-3</v>
      </c>
      <c r="N16" s="89"/>
      <c r="O16" s="74" t="s">
        <v>9</v>
      </c>
    </row>
    <row r="17" spans="2:18" ht="15.95" customHeight="1" thickBot="1" x14ac:dyDescent="0.3">
      <c r="B17" s="141"/>
      <c r="C17" s="142"/>
      <c r="D17" s="143"/>
      <c r="E17" s="71"/>
      <c r="F17" s="71"/>
      <c r="G17" s="94"/>
      <c r="H17" s="95"/>
      <c r="I17" s="73"/>
      <c r="J17" s="94"/>
      <c r="K17" s="95"/>
      <c r="L17" s="73"/>
      <c r="M17" s="90"/>
      <c r="N17" s="91"/>
      <c r="O17" s="75"/>
    </row>
    <row r="18" spans="2:18" ht="15.95" customHeight="1" x14ac:dyDescent="0.25">
      <c r="B18" s="82" t="s">
        <v>44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</row>
    <row r="19" spans="2:18" ht="15.95" customHeight="1" thickBot="1" x14ac:dyDescent="0.3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</row>
    <row r="20" spans="2:18" ht="15.95" customHeight="1" x14ac:dyDescent="0.25">
      <c r="B20" s="76" t="s">
        <v>43</v>
      </c>
      <c r="C20" s="77"/>
      <c r="D20" s="77"/>
      <c r="E20" s="77"/>
      <c r="F20" s="77"/>
      <c r="G20" s="80" t="s">
        <v>42</v>
      </c>
      <c r="H20" s="47"/>
      <c r="I20" s="48"/>
      <c r="J20" s="80"/>
      <c r="K20" s="47"/>
      <c r="L20" s="48"/>
      <c r="M20" s="80"/>
      <c r="N20" s="47"/>
      <c r="O20" s="48"/>
    </row>
    <row r="21" spans="2:18" ht="29.25" customHeight="1" thickBot="1" x14ac:dyDescent="0.3">
      <c r="B21" s="78"/>
      <c r="C21" s="79"/>
      <c r="D21" s="79"/>
      <c r="E21" s="79"/>
      <c r="F21" s="79"/>
      <c r="G21" s="81"/>
      <c r="H21" s="49"/>
      <c r="I21" s="50"/>
      <c r="J21" s="81"/>
      <c r="K21" s="49"/>
      <c r="L21" s="50"/>
      <c r="M21" s="81"/>
      <c r="N21" s="49"/>
      <c r="O21" s="50"/>
    </row>
    <row r="22" spans="2:18" ht="15.95" customHeight="1" x14ac:dyDescent="0.25">
      <c r="B22" s="122" t="s">
        <v>41</v>
      </c>
      <c r="C22" s="123"/>
      <c r="D22" s="126" t="s">
        <v>10</v>
      </c>
      <c r="E22" s="126"/>
      <c r="F22" s="126"/>
      <c r="G22" s="45" t="s">
        <v>40</v>
      </c>
      <c r="H22" s="102" t="s">
        <v>39</v>
      </c>
      <c r="I22" s="103"/>
      <c r="J22" s="45"/>
      <c r="K22" s="102"/>
      <c r="L22" s="103"/>
      <c r="M22" s="45"/>
      <c r="N22" s="102"/>
      <c r="O22" s="103"/>
      <c r="R22" t="s">
        <v>38</v>
      </c>
    </row>
    <row r="23" spans="2:18" ht="15.75" customHeight="1" thickBot="1" x14ac:dyDescent="0.3">
      <c r="B23" s="124"/>
      <c r="C23" s="125"/>
      <c r="D23" s="127"/>
      <c r="E23" s="127"/>
      <c r="F23" s="127"/>
      <c r="G23" s="46"/>
      <c r="H23" s="104"/>
      <c r="I23" s="105"/>
      <c r="J23" s="46"/>
      <c r="K23" s="104"/>
      <c r="L23" s="105"/>
      <c r="M23" s="46"/>
      <c r="N23" s="104"/>
      <c r="O23" s="105"/>
    </row>
    <row r="24" spans="2:18" ht="15.95" customHeight="1" x14ac:dyDescent="0.25">
      <c r="B24" s="128">
        <v>0.4</v>
      </c>
      <c r="C24" s="129"/>
      <c r="D24" s="132" t="s">
        <v>47</v>
      </c>
      <c r="E24" s="133"/>
      <c r="F24" s="133"/>
      <c r="G24" s="118" t="s">
        <v>37</v>
      </c>
      <c r="H24" s="102" t="s">
        <v>13</v>
      </c>
      <c r="I24" s="103"/>
      <c r="J24" s="118"/>
      <c r="K24" s="102"/>
      <c r="L24" s="103"/>
      <c r="M24" s="118"/>
      <c r="N24" s="102"/>
      <c r="O24" s="103"/>
    </row>
    <row r="25" spans="2:18" ht="15.95" customHeight="1" thickBot="1" x14ac:dyDescent="0.3">
      <c r="B25" s="130"/>
      <c r="C25" s="131"/>
      <c r="D25" s="120" t="s">
        <v>48</v>
      </c>
      <c r="E25" s="121"/>
      <c r="F25" s="121"/>
      <c r="G25" s="119"/>
      <c r="H25" s="104"/>
      <c r="I25" s="105"/>
      <c r="J25" s="119"/>
      <c r="K25" s="104"/>
      <c r="L25" s="105"/>
      <c r="M25" s="119"/>
      <c r="N25" s="104"/>
      <c r="O25" s="105"/>
    </row>
    <row r="26" spans="2:18" ht="15.95" customHeight="1" x14ac:dyDescent="0.25">
      <c r="B26" s="128">
        <v>0.6</v>
      </c>
      <c r="C26" s="129"/>
      <c r="D26" s="132" t="s">
        <v>14</v>
      </c>
      <c r="E26" s="133"/>
      <c r="F26" s="133"/>
      <c r="G26" s="118" t="s">
        <v>36</v>
      </c>
      <c r="H26" s="102" t="s">
        <v>13</v>
      </c>
      <c r="I26" s="103"/>
      <c r="J26" s="118"/>
      <c r="K26" s="102"/>
      <c r="L26" s="103"/>
      <c r="M26" s="118"/>
      <c r="N26" s="102"/>
      <c r="O26" s="103"/>
    </row>
    <row r="27" spans="2:18" ht="15.95" customHeight="1" thickBot="1" x14ac:dyDescent="0.3">
      <c r="B27" s="130"/>
      <c r="C27" s="131"/>
      <c r="D27" s="120" t="s">
        <v>35</v>
      </c>
      <c r="E27" s="121"/>
      <c r="F27" s="121"/>
      <c r="G27" s="119"/>
      <c r="H27" s="104"/>
      <c r="I27" s="105"/>
      <c r="J27" s="119"/>
      <c r="K27" s="104"/>
      <c r="L27" s="105"/>
      <c r="M27" s="119"/>
      <c r="N27" s="104"/>
      <c r="O27" s="105"/>
    </row>
    <row r="28" spans="2:18" ht="15.75" customHeight="1" x14ac:dyDescent="0.25">
      <c r="B28" s="134"/>
      <c r="C28" s="135"/>
      <c r="D28" s="144"/>
      <c r="E28" s="145"/>
      <c r="F28" s="145"/>
      <c r="G28" s="80"/>
      <c r="H28" s="47"/>
      <c r="I28" s="48"/>
      <c r="J28" s="45"/>
      <c r="K28" s="47"/>
      <c r="L28" s="48"/>
      <c r="M28" s="45"/>
      <c r="N28" s="47"/>
      <c r="O28" s="48"/>
    </row>
    <row r="29" spans="2:18" ht="15.75" customHeight="1" thickBot="1" x14ac:dyDescent="0.3">
      <c r="B29" s="136"/>
      <c r="C29" s="137"/>
      <c r="D29" s="146"/>
      <c r="E29" s="147"/>
      <c r="F29" s="147"/>
      <c r="G29" s="81"/>
      <c r="H29" s="49"/>
      <c r="I29" s="50"/>
      <c r="J29" s="46"/>
      <c r="K29" s="49"/>
      <c r="L29" s="50"/>
      <c r="M29" s="46"/>
      <c r="N29" s="49"/>
      <c r="O29" s="50"/>
    </row>
    <row r="30" spans="2:18" ht="15.75" customHeight="1" x14ac:dyDescent="0.25">
      <c r="B30" s="134"/>
      <c r="C30" s="135"/>
      <c r="D30" s="144"/>
      <c r="E30" s="145"/>
      <c r="F30" s="145"/>
      <c r="G30" s="80"/>
      <c r="H30" s="47"/>
      <c r="I30" s="48"/>
      <c r="J30" s="45"/>
      <c r="K30" s="47"/>
      <c r="L30" s="48"/>
      <c r="M30" s="45"/>
      <c r="N30" s="47"/>
      <c r="O30" s="48"/>
    </row>
    <row r="31" spans="2:18" ht="15.75" customHeight="1" thickBot="1" x14ac:dyDescent="0.3">
      <c r="B31" s="136"/>
      <c r="C31" s="137"/>
      <c r="D31" s="146"/>
      <c r="E31" s="147"/>
      <c r="F31" s="147"/>
      <c r="G31" s="81"/>
      <c r="H31" s="49"/>
      <c r="I31" s="50"/>
      <c r="J31" s="46"/>
      <c r="K31" s="49"/>
      <c r="L31" s="50"/>
      <c r="M31" s="46"/>
      <c r="N31" s="49"/>
      <c r="O31" s="50"/>
    </row>
    <row r="32" spans="2:18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</sheetData>
  <mergeCells count="73">
    <mergeCell ref="B30:C31"/>
    <mergeCell ref="D30:F31"/>
    <mergeCell ref="G30:I31"/>
    <mergeCell ref="J30:J31"/>
    <mergeCell ref="B28:C29"/>
    <mergeCell ref="M28:M29"/>
    <mergeCell ref="N28:O29"/>
    <mergeCell ref="B26:C27"/>
    <mergeCell ref="D26:F26"/>
    <mergeCell ref="D28:F29"/>
    <mergeCell ref="G28:I29"/>
    <mergeCell ref="K30:L31"/>
    <mergeCell ref="K26:L27"/>
    <mergeCell ref="M26:M27"/>
    <mergeCell ref="N26:O27"/>
    <mergeCell ref="D27:F27"/>
    <mergeCell ref="M30:M31"/>
    <mergeCell ref="N30:O31"/>
    <mergeCell ref="B24:C25"/>
    <mergeCell ref="D24:F24"/>
    <mergeCell ref="G24:G25"/>
    <mergeCell ref="H24:I25"/>
    <mergeCell ref="J24:J25"/>
    <mergeCell ref="G26:G27"/>
    <mergeCell ref="H26:I27"/>
    <mergeCell ref="J26:J27"/>
    <mergeCell ref="M22:M23"/>
    <mergeCell ref="N22:O23"/>
    <mergeCell ref="K24:L25"/>
    <mergeCell ref="M24:M25"/>
    <mergeCell ref="N24:O25"/>
    <mergeCell ref="D25:F25"/>
    <mergeCell ref="J20:L21"/>
    <mergeCell ref="D22:F23"/>
    <mergeCell ref="G22:G23"/>
    <mergeCell ref="H22:I23"/>
    <mergeCell ref="J22:J23"/>
    <mergeCell ref="K22:L23"/>
    <mergeCell ref="B2:D3"/>
    <mergeCell ref="E8:F9"/>
    <mergeCell ref="E10:F11"/>
    <mergeCell ref="E12:F13"/>
    <mergeCell ref="E14:F15"/>
    <mergeCell ref="E2:O3"/>
    <mergeCell ref="O14:O15"/>
    <mergeCell ref="B22:C23"/>
    <mergeCell ref="B4:D17"/>
    <mergeCell ref="L14:L15"/>
    <mergeCell ref="G14:H15"/>
    <mergeCell ref="J14:K15"/>
    <mergeCell ref="M14:N15"/>
    <mergeCell ref="I14:I15"/>
    <mergeCell ref="B18:O19"/>
    <mergeCell ref="M20:O21"/>
    <mergeCell ref="M16:N17"/>
    <mergeCell ref="G16:H17"/>
    <mergeCell ref="J16:K17"/>
    <mergeCell ref="M12:O13"/>
    <mergeCell ref="J28:J29"/>
    <mergeCell ref="K28:L29"/>
    <mergeCell ref="E4:O7"/>
    <mergeCell ref="G8:O9"/>
    <mergeCell ref="G10:I11"/>
    <mergeCell ref="J10:L11"/>
    <mergeCell ref="M10:O11"/>
    <mergeCell ref="G12:I13"/>
    <mergeCell ref="J12:L13"/>
    <mergeCell ref="E16:F17"/>
    <mergeCell ref="I16:I17"/>
    <mergeCell ref="O16:O17"/>
    <mergeCell ref="L16:L17"/>
    <mergeCell ref="B20:F21"/>
    <mergeCell ref="G20:I21"/>
  </mergeCells>
  <printOptions horizontalCentered="1"/>
  <pageMargins left="0" right="0" top="0" bottom="0" header="0" footer="0"/>
  <pageSetup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3"/>
  <sheetViews>
    <sheetView showGridLines="0" tabSelected="1" zoomScaleNormal="100" workbookViewId="0">
      <selection activeCell="T30" sqref="T30"/>
    </sheetView>
  </sheetViews>
  <sheetFormatPr baseColWidth="10" defaultColWidth="14.42578125" defaultRowHeight="15" x14ac:dyDescent="0.25"/>
  <cols>
    <col min="1" max="1" width="1.57031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10.7109375" customWidth="1"/>
    <col min="9" max="9" width="4.140625" customWidth="1"/>
    <col min="10" max="10" width="10.7109375" customWidth="1"/>
    <col min="11" max="11" width="4.140625" customWidth="1"/>
    <col min="12" max="12" width="10.7109375" customWidth="1"/>
    <col min="13" max="13" width="4.140625" customWidth="1"/>
    <col min="14" max="14" width="10.7109375" customWidth="1"/>
    <col min="15" max="15" width="4.140625" customWidth="1"/>
    <col min="16" max="16" width="1.5703125" customWidth="1"/>
    <col min="17" max="18" width="10.42578125" customWidth="1"/>
    <col min="19" max="24" width="12.7109375" customWidth="1"/>
  </cols>
  <sheetData>
    <row r="1" spans="1:21" ht="11.25" customHeight="1" thickBot="1" x14ac:dyDescent="0.3">
      <c r="A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 customHeight="1" thickBot="1" x14ac:dyDescent="0.3">
      <c r="B2" s="183" t="s">
        <v>1</v>
      </c>
      <c r="C2" s="183"/>
      <c r="D2" s="183"/>
      <c r="E2" s="3"/>
      <c r="F2" s="192" t="s">
        <v>2</v>
      </c>
      <c r="G2" s="192"/>
      <c r="H2" s="192"/>
      <c r="I2" s="192"/>
      <c r="J2" s="192"/>
      <c r="K2" s="192"/>
      <c r="L2" s="192"/>
      <c r="M2" s="192"/>
      <c r="N2" s="192"/>
      <c r="O2" s="192"/>
      <c r="P2" s="3"/>
      <c r="Q2" s="3"/>
      <c r="R2" s="3"/>
      <c r="S2" s="3"/>
      <c r="T2" s="3"/>
      <c r="U2" s="3"/>
    </row>
    <row r="3" spans="1:21" ht="15" customHeight="1" thickBot="1" x14ac:dyDescent="0.3">
      <c r="B3" s="183"/>
      <c r="C3" s="183"/>
      <c r="D3" s="183"/>
      <c r="E3" s="4"/>
      <c r="F3" s="192"/>
      <c r="G3" s="192"/>
      <c r="H3" s="192"/>
      <c r="I3" s="192"/>
      <c r="J3" s="192"/>
      <c r="K3" s="192"/>
      <c r="L3" s="192"/>
      <c r="M3" s="192"/>
      <c r="N3" s="192"/>
      <c r="O3" s="192"/>
    </row>
    <row r="4" spans="1:21" ht="23.25" customHeight="1" thickBot="1" x14ac:dyDescent="0.3">
      <c r="B4" s="193"/>
      <c r="C4" s="193"/>
      <c r="D4" s="193"/>
      <c r="E4" s="4"/>
      <c r="F4" s="194" t="s">
        <v>30</v>
      </c>
      <c r="G4" s="194"/>
      <c r="H4" s="194"/>
      <c r="I4" s="194"/>
      <c r="J4" s="194"/>
      <c r="K4" s="194"/>
      <c r="L4" s="194"/>
      <c r="M4" s="194"/>
      <c r="N4" s="194"/>
      <c r="O4" s="194"/>
    </row>
    <row r="5" spans="1:21" ht="15.75" thickBot="1" x14ac:dyDescent="0.3">
      <c r="B5" s="193"/>
      <c r="C5" s="193"/>
      <c r="D5" s="193"/>
      <c r="E5" s="5"/>
      <c r="F5" s="194"/>
      <c r="G5" s="194"/>
      <c r="H5" s="194"/>
      <c r="I5" s="194"/>
      <c r="J5" s="194"/>
      <c r="K5" s="194"/>
      <c r="L5" s="194"/>
      <c r="M5" s="194"/>
      <c r="N5" s="194"/>
      <c r="O5" s="194"/>
    </row>
    <row r="6" spans="1:21" ht="15.75" thickBot="1" x14ac:dyDescent="0.3">
      <c r="B6" s="193"/>
      <c r="C6" s="193"/>
      <c r="D6" s="193"/>
      <c r="E6" s="5"/>
      <c r="F6" s="194"/>
      <c r="G6" s="194"/>
      <c r="H6" s="194"/>
      <c r="I6" s="194"/>
      <c r="J6" s="194"/>
      <c r="K6" s="194"/>
      <c r="L6" s="194"/>
      <c r="M6" s="194"/>
      <c r="N6" s="194"/>
      <c r="O6" s="194"/>
    </row>
    <row r="7" spans="1:21" ht="10.5" customHeight="1" thickBot="1" x14ac:dyDescent="0.3">
      <c r="B7" s="193"/>
      <c r="C7" s="193"/>
      <c r="D7" s="19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1" ht="18" customHeight="1" thickBot="1" x14ac:dyDescent="0.3">
      <c r="B8" s="193"/>
      <c r="C8" s="193"/>
      <c r="D8" s="193"/>
      <c r="E8" s="5"/>
      <c r="F8" s="191" t="s">
        <v>3</v>
      </c>
      <c r="G8" s="191"/>
      <c r="H8" s="154" t="s">
        <v>20</v>
      </c>
      <c r="I8" s="155"/>
      <c r="J8" s="154" t="s">
        <v>21</v>
      </c>
      <c r="K8" s="155"/>
      <c r="L8" s="154" t="s">
        <v>22</v>
      </c>
      <c r="M8" s="155"/>
      <c r="N8" s="158"/>
      <c r="O8" s="159"/>
    </row>
    <row r="9" spans="1:21" ht="18" customHeight="1" thickBot="1" x14ac:dyDescent="0.3">
      <c r="B9" s="193"/>
      <c r="C9" s="193"/>
      <c r="D9" s="193"/>
      <c r="E9" s="5"/>
      <c r="F9" s="191"/>
      <c r="G9" s="191"/>
      <c r="H9" s="156"/>
      <c r="I9" s="157"/>
      <c r="J9" s="156"/>
      <c r="K9" s="157"/>
      <c r="L9" s="156"/>
      <c r="M9" s="157"/>
      <c r="N9" s="160"/>
      <c r="O9" s="161"/>
    </row>
    <row r="10" spans="1:21" ht="18" customHeight="1" thickBot="1" x14ac:dyDescent="0.3">
      <c r="B10" s="193"/>
      <c r="C10" s="193"/>
      <c r="D10" s="193"/>
      <c r="E10" s="5"/>
      <c r="F10" s="165" t="s">
        <v>4</v>
      </c>
      <c r="G10" s="165"/>
      <c r="H10" s="39" t="s">
        <v>28</v>
      </c>
      <c r="I10" s="40"/>
      <c r="J10" s="40"/>
      <c r="K10" s="40"/>
      <c r="L10" s="40"/>
      <c r="M10" s="40"/>
      <c r="N10" s="40"/>
      <c r="O10" s="41"/>
    </row>
    <row r="11" spans="1:21" ht="18" customHeight="1" thickBot="1" x14ac:dyDescent="0.3">
      <c r="B11" s="193"/>
      <c r="C11" s="193"/>
      <c r="D11" s="193"/>
      <c r="E11" s="5"/>
      <c r="F11" s="165"/>
      <c r="G11" s="165"/>
      <c r="H11" s="42"/>
      <c r="I11" s="43"/>
      <c r="J11" s="43"/>
      <c r="K11" s="43"/>
      <c r="L11" s="43"/>
      <c r="M11" s="43"/>
      <c r="N11" s="43"/>
      <c r="O11" s="44"/>
    </row>
    <row r="12" spans="1:21" ht="18" customHeight="1" thickBot="1" x14ac:dyDescent="0.3">
      <c r="B12" s="193"/>
      <c r="C12" s="193"/>
      <c r="D12" s="193"/>
      <c r="E12" s="5"/>
      <c r="F12" s="165" t="s">
        <v>5</v>
      </c>
      <c r="G12" s="165"/>
      <c r="H12" s="154" t="s">
        <v>19</v>
      </c>
      <c r="I12" s="155"/>
      <c r="J12" s="154" t="s">
        <v>23</v>
      </c>
      <c r="K12" s="155"/>
      <c r="L12" s="154" t="s">
        <v>24</v>
      </c>
      <c r="M12" s="155"/>
      <c r="N12" s="154"/>
      <c r="O12" s="159"/>
    </row>
    <row r="13" spans="1:21" ht="18" customHeight="1" thickBot="1" x14ac:dyDescent="0.3">
      <c r="B13" s="193"/>
      <c r="C13" s="193"/>
      <c r="D13" s="193"/>
      <c r="E13" s="5"/>
      <c r="F13" s="165"/>
      <c r="G13" s="165"/>
      <c r="H13" s="156"/>
      <c r="I13" s="157"/>
      <c r="J13" s="156"/>
      <c r="K13" s="157"/>
      <c r="L13" s="156"/>
      <c r="M13" s="157"/>
      <c r="N13" s="156"/>
      <c r="O13" s="161"/>
    </row>
    <row r="14" spans="1:21" ht="18" customHeight="1" thickBot="1" x14ac:dyDescent="0.3">
      <c r="B14" s="193"/>
      <c r="C14" s="193"/>
      <c r="D14" s="193"/>
      <c r="E14" s="5"/>
      <c r="F14" s="165" t="s">
        <v>6</v>
      </c>
      <c r="G14" s="165"/>
      <c r="H14" s="166"/>
      <c r="I14" s="164" t="s">
        <v>7</v>
      </c>
      <c r="J14" s="166"/>
      <c r="K14" s="164" t="s">
        <v>7</v>
      </c>
      <c r="L14" s="166"/>
      <c r="M14" s="164" t="s">
        <v>7</v>
      </c>
      <c r="N14" s="152"/>
      <c r="O14" s="153" t="s">
        <v>7</v>
      </c>
    </row>
    <row r="15" spans="1:21" ht="18" customHeight="1" thickBot="1" x14ac:dyDescent="0.3">
      <c r="B15" s="193"/>
      <c r="C15" s="193"/>
      <c r="D15" s="193"/>
      <c r="E15" s="5"/>
      <c r="F15" s="165"/>
      <c r="G15" s="165"/>
      <c r="H15" s="166"/>
      <c r="I15" s="164"/>
      <c r="J15" s="166"/>
      <c r="K15" s="164"/>
      <c r="L15" s="166"/>
      <c r="M15" s="164"/>
      <c r="N15" s="152"/>
      <c r="O15" s="153"/>
    </row>
    <row r="16" spans="1:21" ht="18" customHeight="1" thickBot="1" x14ac:dyDescent="0.3">
      <c r="B16" s="193"/>
      <c r="C16" s="193"/>
      <c r="D16" s="193"/>
      <c r="E16" s="5"/>
      <c r="F16" s="165" t="s">
        <v>8</v>
      </c>
      <c r="G16" s="165"/>
      <c r="H16" s="151">
        <v>3.8541666666666668E-3</v>
      </c>
      <c r="I16" s="150" t="s">
        <v>9</v>
      </c>
      <c r="J16" s="151">
        <v>4.0856481481481481E-3</v>
      </c>
      <c r="K16" s="150" t="s">
        <v>9</v>
      </c>
      <c r="L16" s="151">
        <v>1.3078703703703705E-3</v>
      </c>
      <c r="M16" s="150" t="s">
        <v>9</v>
      </c>
      <c r="N16" s="148"/>
      <c r="O16" s="149" t="s">
        <v>9</v>
      </c>
    </row>
    <row r="17" spans="1:18" ht="18" customHeight="1" thickBot="1" x14ac:dyDescent="0.3">
      <c r="B17" s="193"/>
      <c r="C17" s="193"/>
      <c r="D17" s="193"/>
      <c r="E17" s="5"/>
      <c r="F17" s="165"/>
      <c r="G17" s="165"/>
      <c r="H17" s="151"/>
      <c r="I17" s="150"/>
      <c r="J17" s="151"/>
      <c r="K17" s="150"/>
      <c r="L17" s="151"/>
      <c r="M17" s="150"/>
      <c r="N17" s="148"/>
      <c r="O17" s="149"/>
      <c r="P17" s="3"/>
      <c r="Q17" s="3"/>
      <c r="R17" s="3"/>
    </row>
    <row r="18" spans="1:18" ht="10.5" customHeight="1" thickBo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8" ht="18" customHeight="1" thickBot="1" x14ac:dyDescent="0.3">
      <c r="B19" s="185" t="s">
        <v>1</v>
      </c>
      <c r="C19" s="186"/>
      <c r="D19" s="187"/>
      <c r="E19" s="5"/>
      <c r="F19" s="191" t="s">
        <v>3</v>
      </c>
      <c r="G19" s="191"/>
      <c r="H19" s="154" t="s">
        <v>20</v>
      </c>
      <c r="I19" s="155"/>
      <c r="J19" s="154" t="s">
        <v>21</v>
      </c>
      <c r="K19" s="155"/>
      <c r="L19" s="154" t="s">
        <v>22</v>
      </c>
      <c r="M19" s="155"/>
      <c r="N19" s="158"/>
      <c r="O19" s="159"/>
    </row>
    <row r="20" spans="1:18" ht="18" customHeight="1" thickBot="1" x14ac:dyDescent="0.3">
      <c r="B20" s="188"/>
      <c r="C20" s="189"/>
      <c r="D20" s="190"/>
      <c r="E20" s="5"/>
      <c r="F20" s="191"/>
      <c r="G20" s="191"/>
      <c r="H20" s="156"/>
      <c r="I20" s="157"/>
      <c r="J20" s="156"/>
      <c r="K20" s="157"/>
      <c r="L20" s="156"/>
      <c r="M20" s="157"/>
      <c r="N20" s="160"/>
      <c r="O20" s="161"/>
    </row>
    <row r="21" spans="1:18" ht="18" customHeight="1" thickBot="1" x14ac:dyDescent="0.3">
      <c r="B21" s="8"/>
      <c r="C21" s="9"/>
      <c r="D21" s="10"/>
      <c r="E21" s="5"/>
      <c r="F21" s="165" t="s">
        <v>4</v>
      </c>
      <c r="G21" s="165"/>
      <c r="H21" s="39" t="s">
        <v>29</v>
      </c>
      <c r="I21" s="40"/>
      <c r="J21" s="40"/>
      <c r="K21" s="40"/>
      <c r="L21" s="40"/>
      <c r="M21" s="40"/>
      <c r="N21" s="40"/>
      <c r="O21" s="41"/>
    </row>
    <row r="22" spans="1:18" ht="18" customHeight="1" thickBot="1" x14ac:dyDescent="0.3">
      <c r="B22" s="11"/>
      <c r="C22" s="12"/>
      <c r="D22" s="13"/>
      <c r="E22" s="5"/>
      <c r="F22" s="165"/>
      <c r="G22" s="165"/>
      <c r="H22" s="42"/>
      <c r="I22" s="43"/>
      <c r="J22" s="43"/>
      <c r="K22" s="43"/>
      <c r="L22" s="43"/>
      <c r="M22" s="43"/>
      <c r="N22" s="43"/>
      <c r="O22" s="44"/>
    </row>
    <row r="23" spans="1:18" ht="18" customHeight="1" thickBot="1" x14ac:dyDescent="0.3">
      <c r="B23" s="11"/>
      <c r="C23" s="12"/>
      <c r="D23" s="13"/>
      <c r="E23" s="5"/>
      <c r="F23" s="165" t="s">
        <v>5</v>
      </c>
      <c r="G23" s="165"/>
      <c r="H23" s="154" t="s">
        <v>25</v>
      </c>
      <c r="I23" s="155"/>
      <c r="J23" s="154" t="s">
        <v>26</v>
      </c>
      <c r="K23" s="155"/>
      <c r="L23" s="154" t="s">
        <v>27</v>
      </c>
      <c r="M23" s="155"/>
      <c r="N23" s="154"/>
      <c r="O23" s="159"/>
    </row>
    <row r="24" spans="1:18" ht="18" customHeight="1" thickBot="1" x14ac:dyDescent="0.3">
      <c r="B24" s="11"/>
      <c r="C24" s="12"/>
      <c r="D24" s="13"/>
      <c r="E24" s="5"/>
      <c r="F24" s="165"/>
      <c r="G24" s="165"/>
      <c r="H24" s="156"/>
      <c r="I24" s="157"/>
      <c r="J24" s="156"/>
      <c r="K24" s="157"/>
      <c r="L24" s="156"/>
      <c r="M24" s="157"/>
      <c r="N24" s="156"/>
      <c r="O24" s="161"/>
    </row>
    <row r="25" spans="1:18" ht="18" customHeight="1" thickBot="1" x14ac:dyDescent="0.3">
      <c r="B25" s="11"/>
      <c r="C25" s="12"/>
      <c r="D25" s="13"/>
      <c r="E25" s="5"/>
      <c r="F25" s="165" t="s">
        <v>6</v>
      </c>
      <c r="G25" s="165"/>
      <c r="H25" s="166"/>
      <c r="I25" s="164" t="s">
        <v>7</v>
      </c>
      <c r="J25" s="166"/>
      <c r="K25" s="164" t="s">
        <v>7</v>
      </c>
      <c r="L25" s="166"/>
      <c r="M25" s="164" t="s">
        <v>7</v>
      </c>
      <c r="N25" s="152"/>
      <c r="O25" s="153" t="s">
        <v>7</v>
      </c>
    </row>
    <row r="26" spans="1:18" ht="18" customHeight="1" thickBot="1" x14ac:dyDescent="0.3">
      <c r="B26" s="11"/>
      <c r="C26" s="12"/>
      <c r="D26" s="13"/>
      <c r="E26" s="5"/>
      <c r="F26" s="165"/>
      <c r="G26" s="165"/>
      <c r="H26" s="166"/>
      <c r="I26" s="164"/>
      <c r="J26" s="166"/>
      <c r="K26" s="164"/>
      <c r="L26" s="166"/>
      <c r="M26" s="164"/>
      <c r="N26" s="152"/>
      <c r="O26" s="153"/>
    </row>
    <row r="27" spans="1:18" ht="18" customHeight="1" thickBot="1" x14ac:dyDescent="0.3">
      <c r="B27" s="11"/>
      <c r="C27" s="12"/>
      <c r="D27" s="13"/>
      <c r="E27" s="5"/>
      <c r="F27" s="165" t="s">
        <v>8</v>
      </c>
      <c r="G27" s="165"/>
      <c r="H27" s="151">
        <v>3.8541666666666668E-3</v>
      </c>
      <c r="I27" s="150" t="s">
        <v>9</v>
      </c>
      <c r="J27" s="151">
        <v>4.0856481481481481E-3</v>
      </c>
      <c r="K27" s="150" t="s">
        <v>9</v>
      </c>
      <c r="L27" s="151">
        <v>1.3078703703703705E-3</v>
      </c>
      <c r="M27" s="150" t="s">
        <v>9</v>
      </c>
      <c r="N27" s="148"/>
      <c r="O27" s="149" t="s">
        <v>9</v>
      </c>
    </row>
    <row r="28" spans="1:18" ht="18" customHeight="1" thickBot="1" x14ac:dyDescent="0.3">
      <c r="B28" s="14"/>
      <c r="C28" s="15"/>
      <c r="D28" s="16"/>
      <c r="E28" s="5"/>
      <c r="F28" s="165"/>
      <c r="G28" s="165"/>
      <c r="H28" s="151"/>
      <c r="I28" s="150"/>
      <c r="J28" s="151"/>
      <c r="K28" s="150"/>
      <c r="L28" s="151"/>
      <c r="M28" s="150"/>
      <c r="N28" s="148"/>
      <c r="O28" s="149"/>
      <c r="P28" s="3"/>
      <c r="Q28" s="3"/>
      <c r="R28" s="3"/>
    </row>
    <row r="29" spans="1:18" ht="10.5" customHeight="1" thickBot="1" x14ac:dyDescent="0.3">
      <c r="A29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1"/>
      <c r="L29" s="1"/>
      <c r="M29" s="1"/>
      <c r="N29" s="2"/>
      <c r="O29" s="2"/>
      <c r="P29" s="3"/>
      <c r="Q29" s="3"/>
      <c r="R29" s="3"/>
    </row>
    <row r="30" spans="1:18" ht="15" customHeight="1" thickBot="1" x14ac:dyDescent="0.3">
      <c r="B30" s="171" t="s">
        <v>1</v>
      </c>
      <c r="C30" s="171"/>
      <c r="D30" s="171"/>
      <c r="E30" s="5"/>
      <c r="F30" s="183" t="s">
        <v>15</v>
      </c>
      <c r="G30" s="183"/>
      <c r="H30" s="183"/>
      <c r="I30" s="183"/>
      <c r="J30" s="183"/>
      <c r="K30" s="183"/>
      <c r="L30" s="183"/>
      <c r="M30" s="183"/>
      <c r="N30" s="2"/>
      <c r="O30" s="2"/>
    </row>
    <row r="31" spans="1:18" ht="15.75" customHeight="1" thickBot="1" x14ac:dyDescent="0.3">
      <c r="B31" s="171"/>
      <c r="C31" s="171"/>
      <c r="D31" s="171"/>
      <c r="E31" s="5"/>
      <c r="F31" s="183"/>
      <c r="G31" s="183"/>
      <c r="H31" s="183"/>
      <c r="I31" s="183"/>
      <c r="J31" s="183"/>
      <c r="K31" s="183"/>
      <c r="L31" s="183"/>
      <c r="M31" s="183"/>
    </row>
    <row r="32" spans="1:18" ht="18" customHeight="1" thickBot="1" x14ac:dyDescent="0.3">
      <c r="B32" s="172"/>
      <c r="C32" s="172"/>
      <c r="D32" s="172"/>
      <c r="E32" s="7"/>
      <c r="F32" s="184" t="s">
        <v>10</v>
      </c>
      <c r="G32" s="184"/>
      <c r="H32" s="184"/>
      <c r="I32" s="184"/>
      <c r="J32" s="162" t="s">
        <v>11</v>
      </c>
      <c r="K32" s="162"/>
      <c r="L32" s="163" t="s">
        <v>12</v>
      </c>
      <c r="M32" s="163"/>
    </row>
    <row r="33" spans="2:13" ht="18" customHeight="1" thickBot="1" x14ac:dyDescent="0.3">
      <c r="B33" s="172"/>
      <c r="C33" s="172"/>
      <c r="D33" s="172"/>
      <c r="E33" s="7"/>
      <c r="F33" s="184"/>
      <c r="G33" s="184"/>
      <c r="H33" s="184"/>
      <c r="I33" s="184"/>
      <c r="J33" s="162"/>
      <c r="K33" s="162"/>
      <c r="L33" s="163"/>
      <c r="M33" s="163"/>
    </row>
    <row r="34" spans="2:13" ht="18" customHeight="1" thickBot="1" x14ac:dyDescent="0.3">
      <c r="B34" s="172"/>
      <c r="C34" s="172"/>
      <c r="D34" s="172"/>
      <c r="E34" s="7"/>
      <c r="F34" s="176" t="s">
        <v>17</v>
      </c>
      <c r="G34" s="176"/>
      <c r="H34" s="176"/>
      <c r="I34" s="176"/>
      <c r="J34" s="177">
        <v>2</v>
      </c>
      <c r="K34" s="177"/>
      <c r="L34" s="178" t="s">
        <v>13</v>
      </c>
      <c r="M34" s="178"/>
    </row>
    <row r="35" spans="2:13" ht="18" customHeight="1" thickBot="1" x14ac:dyDescent="0.3">
      <c r="B35" s="172"/>
      <c r="C35" s="172"/>
      <c r="D35" s="172"/>
      <c r="E35" s="7"/>
      <c r="F35" s="179" t="s">
        <v>18</v>
      </c>
      <c r="G35" s="179"/>
      <c r="H35" s="179"/>
      <c r="I35" s="179"/>
      <c r="J35" s="177"/>
      <c r="K35" s="177"/>
      <c r="L35" s="178"/>
      <c r="M35" s="178"/>
    </row>
    <row r="36" spans="2:13" ht="18" customHeight="1" thickBot="1" x14ac:dyDescent="0.3">
      <c r="B36" s="172"/>
      <c r="C36" s="172"/>
      <c r="D36" s="172"/>
      <c r="E36" s="7"/>
      <c r="F36" s="180" t="s">
        <v>14</v>
      </c>
      <c r="G36" s="181"/>
      <c r="H36" s="181"/>
      <c r="I36" s="182"/>
      <c r="J36" s="167">
        <v>5</v>
      </c>
      <c r="K36" s="182"/>
      <c r="L36" s="167" t="s">
        <v>13</v>
      </c>
      <c r="M36" s="168"/>
    </row>
    <row r="37" spans="2:13" ht="18" customHeight="1" thickBot="1" x14ac:dyDescent="0.3">
      <c r="B37" s="172"/>
      <c r="C37" s="172"/>
      <c r="D37" s="172"/>
      <c r="E37" s="7"/>
      <c r="F37" s="173" t="s">
        <v>16</v>
      </c>
      <c r="G37" s="174"/>
      <c r="H37" s="174"/>
      <c r="I37" s="175"/>
      <c r="J37" s="169"/>
      <c r="K37" s="175"/>
      <c r="L37" s="169"/>
      <c r="M37" s="170"/>
    </row>
    <row r="38" spans="2:13" ht="18" customHeight="1" thickBot="1" x14ac:dyDescent="0.3">
      <c r="B38" s="172"/>
      <c r="C38" s="172"/>
      <c r="D38" s="172"/>
      <c r="E38" s="7"/>
      <c r="F38" s="176"/>
      <c r="G38" s="176"/>
      <c r="H38" s="176"/>
      <c r="I38" s="176"/>
      <c r="J38" s="177"/>
      <c r="K38" s="177"/>
      <c r="L38" s="178"/>
      <c r="M38" s="178"/>
    </row>
    <row r="39" spans="2:13" ht="18" customHeight="1" thickBot="1" x14ac:dyDescent="0.3">
      <c r="B39" s="172"/>
      <c r="C39" s="172"/>
      <c r="D39" s="172"/>
      <c r="E39" s="7"/>
      <c r="F39" s="179"/>
      <c r="G39" s="179"/>
      <c r="H39" s="179"/>
      <c r="I39" s="179"/>
      <c r="J39" s="177"/>
      <c r="K39" s="177"/>
      <c r="L39" s="178"/>
      <c r="M39" s="178"/>
    </row>
    <row r="40" spans="2:13" ht="7.5" customHeight="1" x14ac:dyDescent="0.25"/>
    <row r="41" spans="2:13" ht="15.75" customHeight="1" x14ac:dyDescent="0.25"/>
    <row r="42" spans="2:13" ht="15.75" customHeight="1" x14ac:dyDescent="0.25"/>
    <row r="43" spans="2:13" ht="15.75" customHeight="1" x14ac:dyDescent="0.25"/>
    <row r="44" spans="2:13" ht="15.75" customHeight="1" x14ac:dyDescent="0.25"/>
    <row r="45" spans="2:13" ht="15.75" customHeight="1" x14ac:dyDescent="0.25"/>
    <row r="46" spans="2:13" ht="15.75" customHeight="1" x14ac:dyDescent="0.25"/>
    <row r="47" spans="2:13" ht="15.75" customHeight="1" x14ac:dyDescent="0.25"/>
    <row r="48" spans="2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83">
    <mergeCell ref="O14:O15"/>
    <mergeCell ref="J12:K13"/>
    <mergeCell ref="L12:M13"/>
    <mergeCell ref="N12:O13"/>
    <mergeCell ref="H8:I9"/>
    <mergeCell ref="J8:K9"/>
    <mergeCell ref="L8:M9"/>
    <mergeCell ref="N8:O9"/>
    <mergeCell ref="H10:O11"/>
    <mergeCell ref="B2:D3"/>
    <mergeCell ref="F2:O3"/>
    <mergeCell ref="B4:D17"/>
    <mergeCell ref="F4:O6"/>
    <mergeCell ref="F8:G9"/>
    <mergeCell ref="F10:G11"/>
    <mergeCell ref="F12:G13"/>
    <mergeCell ref="L14:L15"/>
    <mergeCell ref="M14:M15"/>
    <mergeCell ref="F14:G15"/>
    <mergeCell ref="H14:H15"/>
    <mergeCell ref="I14:I15"/>
    <mergeCell ref="H12:I13"/>
    <mergeCell ref="J14:J15"/>
    <mergeCell ref="K14:K15"/>
    <mergeCell ref="N14:N15"/>
    <mergeCell ref="B19:D20"/>
    <mergeCell ref="F16:G17"/>
    <mergeCell ref="H16:H17"/>
    <mergeCell ref="I16:I17"/>
    <mergeCell ref="J16:J17"/>
    <mergeCell ref="F19:G20"/>
    <mergeCell ref="H19:I20"/>
    <mergeCell ref="J19:K20"/>
    <mergeCell ref="L36:M37"/>
    <mergeCell ref="B30:D31"/>
    <mergeCell ref="B32:D39"/>
    <mergeCell ref="F37:I37"/>
    <mergeCell ref="F38:I38"/>
    <mergeCell ref="J38:K39"/>
    <mergeCell ref="L38:M39"/>
    <mergeCell ref="F39:I39"/>
    <mergeCell ref="F34:I34"/>
    <mergeCell ref="J34:K35"/>
    <mergeCell ref="L34:M35"/>
    <mergeCell ref="F35:I35"/>
    <mergeCell ref="F36:I36"/>
    <mergeCell ref="J36:K37"/>
    <mergeCell ref="F30:M31"/>
    <mergeCell ref="F32:I33"/>
    <mergeCell ref="F21:G22"/>
    <mergeCell ref="F23:G24"/>
    <mergeCell ref="F25:G26"/>
    <mergeCell ref="H25:H26"/>
    <mergeCell ref="I25:I26"/>
    <mergeCell ref="H21:O22"/>
    <mergeCell ref="H23:I24"/>
    <mergeCell ref="J23:K24"/>
    <mergeCell ref="L23:M24"/>
    <mergeCell ref="N23:O24"/>
    <mergeCell ref="J32:K33"/>
    <mergeCell ref="L32:M33"/>
    <mergeCell ref="M25:M26"/>
    <mergeCell ref="F27:G28"/>
    <mergeCell ref="H27:H28"/>
    <mergeCell ref="I27:I28"/>
    <mergeCell ref="J27:J28"/>
    <mergeCell ref="K27:K28"/>
    <mergeCell ref="L27:L28"/>
    <mergeCell ref="M27:M28"/>
    <mergeCell ref="L25:L26"/>
    <mergeCell ref="J25:J26"/>
    <mergeCell ref="K25:K26"/>
    <mergeCell ref="N27:N28"/>
    <mergeCell ref="O27:O28"/>
    <mergeCell ref="K16:K17"/>
    <mergeCell ref="L16:L17"/>
    <mergeCell ref="M16:M17"/>
    <mergeCell ref="N16:N17"/>
    <mergeCell ref="O16:O17"/>
    <mergeCell ref="N25:N26"/>
    <mergeCell ref="O25:O26"/>
    <mergeCell ref="L19:M20"/>
    <mergeCell ref="N19:O20"/>
  </mergeCells>
  <printOptions horizontalCentered="1"/>
  <pageMargins left="0.39370078740157483" right="0.39370078740157483" top="0.39370078740157483" bottom="0.39370078740157483" header="0.19685039370078741" footer="0.19685039370078741"/>
  <pageSetup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5823-8CE5-4994-A828-B16C27ABBE1A}">
  <dimension ref="A2:F12"/>
  <sheetViews>
    <sheetView workbookViewId="0">
      <selection activeCell="F7" sqref="F7"/>
    </sheetView>
  </sheetViews>
  <sheetFormatPr baseColWidth="10" defaultRowHeight="15" x14ac:dyDescent="0.25"/>
  <cols>
    <col min="3" max="3" width="13.5703125" customWidth="1"/>
    <col min="4" max="4" width="13.7109375" customWidth="1"/>
    <col min="5" max="5" width="13.140625" customWidth="1"/>
    <col min="6" max="6" width="13.28515625" customWidth="1"/>
  </cols>
  <sheetData>
    <row r="2" spans="1:6" ht="18.75" x14ac:dyDescent="0.4">
      <c r="C2" s="18" t="s">
        <v>31</v>
      </c>
      <c r="D2" s="18" t="s">
        <v>31</v>
      </c>
      <c r="E2" s="18" t="s">
        <v>31</v>
      </c>
      <c r="F2" s="18" t="s">
        <v>31</v>
      </c>
    </row>
    <row r="3" spans="1:6" x14ac:dyDescent="0.25">
      <c r="C3" s="19" t="s">
        <v>34</v>
      </c>
      <c r="D3" s="19" t="s">
        <v>34</v>
      </c>
      <c r="E3" s="19" t="s">
        <v>34</v>
      </c>
      <c r="F3" s="19" t="s">
        <v>34</v>
      </c>
    </row>
    <row r="4" spans="1:6" ht="18.75" x14ac:dyDescent="0.4">
      <c r="A4" s="18" t="s">
        <v>32</v>
      </c>
      <c r="B4" s="18"/>
      <c r="C4" s="20">
        <v>1</v>
      </c>
      <c r="D4" s="20">
        <v>6</v>
      </c>
      <c r="E4" s="20">
        <v>30</v>
      </c>
      <c r="F4" s="20"/>
    </row>
    <row r="5" spans="1:6" ht="18.75" x14ac:dyDescent="0.4">
      <c r="A5" s="18"/>
      <c r="B5" s="18"/>
      <c r="C5" s="20"/>
      <c r="D5" s="20"/>
      <c r="E5" s="20"/>
      <c r="F5" s="20"/>
    </row>
    <row r="6" spans="1:6" ht="18.75" x14ac:dyDescent="0.4">
      <c r="A6" s="18"/>
      <c r="B6" s="18"/>
      <c r="C6" s="20"/>
      <c r="D6" s="20"/>
      <c r="E6" s="20"/>
      <c r="F6" s="20"/>
    </row>
    <row r="7" spans="1:6" ht="18.75" x14ac:dyDescent="0.4">
      <c r="A7" s="18" t="s">
        <v>33</v>
      </c>
      <c r="B7" s="18"/>
      <c r="C7" s="20">
        <v>1</v>
      </c>
      <c r="D7" s="20">
        <v>6</v>
      </c>
      <c r="E7" s="20">
        <v>30</v>
      </c>
      <c r="F7" s="20"/>
    </row>
    <row r="8" spans="1:6" ht="18.75" x14ac:dyDescent="0.4">
      <c r="A8" s="18"/>
      <c r="B8" s="18"/>
      <c r="C8" s="20"/>
      <c r="D8" s="20"/>
      <c r="E8" s="20"/>
      <c r="F8" s="20"/>
    </row>
    <row r="9" spans="1:6" ht="18.75" x14ac:dyDescent="0.4">
      <c r="A9" s="18"/>
      <c r="B9" s="18"/>
      <c r="C9" s="20"/>
      <c r="D9" s="20"/>
      <c r="E9" s="20"/>
      <c r="F9" s="20"/>
    </row>
    <row r="10" spans="1:6" ht="18.75" x14ac:dyDescent="0.4">
      <c r="A10" s="18" t="s">
        <v>22</v>
      </c>
      <c r="B10" s="18"/>
      <c r="C10" s="20"/>
      <c r="D10" s="20"/>
      <c r="E10" s="20"/>
      <c r="F10" s="20">
        <v>8</v>
      </c>
    </row>
    <row r="11" spans="1:6" ht="18.75" x14ac:dyDescent="0.4">
      <c r="A11" s="18"/>
      <c r="B11" s="18"/>
      <c r="C11" s="18"/>
      <c r="D11" s="18"/>
      <c r="E11" s="18"/>
      <c r="F11" s="18"/>
    </row>
    <row r="12" spans="1:6" ht="18.75" x14ac:dyDescent="0.4">
      <c r="A12" s="17"/>
      <c r="B12" s="17"/>
      <c r="C12" s="17"/>
      <c r="D12" s="17"/>
      <c r="E12" s="17"/>
      <c r="F1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975B-AEC5-4F64-8EF5-51D958C1EFCE}">
  <dimension ref="A1:M9"/>
  <sheetViews>
    <sheetView showGridLines="0" workbookViewId="0">
      <selection activeCell="A7" sqref="A7"/>
    </sheetView>
  </sheetViews>
  <sheetFormatPr baseColWidth="10" defaultRowHeight="15" x14ac:dyDescent="0.25"/>
  <cols>
    <col min="1" max="1" width="14.5703125" bestFit="1" customWidth="1"/>
    <col min="2" max="2" width="9" bestFit="1" customWidth="1"/>
    <col min="3" max="3" width="28.42578125" bestFit="1" customWidth="1"/>
    <col min="4" max="4" width="12.28515625" customWidth="1"/>
    <col min="5" max="5" width="11.28515625" bestFit="1" customWidth="1"/>
    <col min="6" max="6" width="11.140625" bestFit="1" customWidth="1"/>
    <col min="7" max="8" width="8.28515625" bestFit="1" customWidth="1"/>
  </cols>
  <sheetData>
    <row r="1" spans="1:13" s="22" customFormat="1" ht="20.25" x14ac:dyDescent="0.3">
      <c r="A1" s="195" t="s">
        <v>49</v>
      </c>
      <c r="B1" s="195"/>
      <c r="C1" s="195"/>
      <c r="D1" s="195"/>
      <c r="E1" s="195"/>
      <c r="F1" s="195"/>
      <c r="G1" s="196" t="s">
        <v>50</v>
      </c>
      <c r="H1" s="197"/>
    </row>
    <row r="2" spans="1:13" s="22" customFormat="1" ht="20.25" x14ac:dyDescent="0.3">
      <c r="A2" s="195"/>
      <c r="B2" s="195"/>
      <c r="C2" s="195"/>
      <c r="D2" s="195"/>
      <c r="E2" s="195"/>
      <c r="F2" s="195"/>
      <c r="G2" s="23"/>
      <c r="H2" s="24"/>
    </row>
    <row r="3" spans="1:13" s="22" customFormat="1" ht="26.25" x14ac:dyDescent="0.4">
      <c r="A3" s="198" t="s">
        <v>51</v>
      </c>
      <c r="B3" s="198"/>
      <c r="C3" s="198"/>
      <c r="D3" s="199">
        <v>45845</v>
      </c>
      <c r="E3" s="199"/>
      <c r="F3" s="199"/>
      <c r="G3" s="199"/>
      <c r="H3" s="199"/>
    </row>
    <row r="4" spans="1:13" s="22" customFormat="1" ht="18.75" x14ac:dyDescent="0.3">
      <c r="A4" s="26" t="s">
        <v>63</v>
      </c>
      <c r="B4" s="27"/>
      <c r="C4" s="26"/>
      <c r="D4" s="26"/>
      <c r="E4" s="26"/>
      <c r="F4" s="26"/>
      <c r="G4" s="26"/>
      <c r="H4" s="26"/>
    </row>
    <row r="5" spans="1:13" s="22" customFormat="1" ht="18.75" x14ac:dyDescent="0.3">
      <c r="B5" s="28"/>
      <c r="C5" s="25"/>
      <c r="D5" s="25"/>
    </row>
    <row r="6" spans="1:13" ht="18.75" x14ac:dyDescent="0.25">
      <c r="A6" s="29" t="s">
        <v>52</v>
      </c>
      <c r="B6" s="30" t="s">
        <v>53</v>
      </c>
      <c r="C6" s="29" t="s">
        <v>54</v>
      </c>
      <c r="D6" s="29" t="s">
        <v>55</v>
      </c>
      <c r="E6" s="29" t="s">
        <v>56</v>
      </c>
      <c r="F6" s="29" t="s">
        <v>57</v>
      </c>
      <c r="J6" s="31"/>
      <c r="K6" s="31"/>
      <c r="L6" s="31"/>
      <c r="M6" s="31"/>
    </row>
    <row r="7" spans="1:13" ht="21" x14ac:dyDescent="0.3">
      <c r="A7" s="32">
        <f>FICHA!G14+FICHA!J14+FICHA!M14*FICHA!B24%*0.1*0.5*110%</f>
        <v>204.00682</v>
      </c>
      <c r="B7" s="33" t="s">
        <v>58</v>
      </c>
      <c r="C7" s="38" t="s">
        <v>62</v>
      </c>
      <c r="D7" s="200" t="s">
        <v>60</v>
      </c>
      <c r="E7" s="202" t="s">
        <v>61</v>
      </c>
      <c r="F7" s="200">
        <v>2600</v>
      </c>
      <c r="I7" s="34"/>
      <c r="J7" s="35"/>
      <c r="K7" s="35"/>
      <c r="L7" s="35"/>
      <c r="M7" s="29"/>
    </row>
    <row r="8" spans="1:13" ht="21" x14ac:dyDescent="0.3">
      <c r="A8" s="32">
        <f>FICHA!G14+FICHA!J14+FICHA!M14*FICHA!B24%*0.1*0.5*110%</f>
        <v>204.00682</v>
      </c>
      <c r="B8" s="33" t="s">
        <v>59</v>
      </c>
      <c r="C8" s="38" t="s">
        <v>62</v>
      </c>
      <c r="D8" s="201"/>
      <c r="E8" s="203"/>
      <c r="F8" s="201"/>
      <c r="I8" s="28"/>
      <c r="J8" s="36"/>
      <c r="K8" s="36"/>
      <c r="L8" s="36"/>
      <c r="M8" s="29"/>
    </row>
    <row r="9" spans="1:13" ht="22.5" x14ac:dyDescent="0.25">
      <c r="A9" s="37">
        <f>SUM(A7:A8)</f>
        <v>408.01364000000001</v>
      </c>
      <c r="F9" s="29"/>
      <c r="G9" s="29"/>
      <c r="H9" s="29"/>
    </row>
  </sheetData>
  <sheetProtection sheet="1" objects="1" scenarios="1" selectLockedCells="1"/>
  <protectedRanges>
    <protectedRange algorithmName="SHA-512" hashValue="NuQlbQOLv31pApNfufVAKmJ69yIDDDO8bsOc/zWeZISaIIGXNj8v4cUoYcWzxAz3xCTJD+gJyGIioXwmo23Y4w==" saltValue="thRs8bPSyX11tXkAbDXgqQ==" spinCount="100000" sqref="A7:A8" name="FORMULA" securityDescriptor="O:WDG:WDD:(D;;CC;;;WD)"/>
  </protectedRanges>
  <mergeCells count="7">
    <mergeCell ref="A1:F2"/>
    <mergeCell ref="G1:H1"/>
    <mergeCell ref="A3:C3"/>
    <mergeCell ref="D3:H3"/>
    <mergeCell ref="D7:D8"/>
    <mergeCell ref="E7:E8"/>
    <mergeCell ref="F7:F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</vt:lpstr>
      <vt:lpstr>FICHA ANTIGUA</vt:lpstr>
      <vt:lpstr>MAQUINAS</vt:lpstr>
      <vt:lpstr>SOLICITUD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2024-02-13T19:09:00Z</cp:lastPrinted>
  <dcterms:created xsi:type="dcterms:W3CDTF">2023-10-31T20:19:37Z</dcterms:created>
  <dcterms:modified xsi:type="dcterms:W3CDTF">2025-07-10T19:40:30Z</dcterms:modified>
  <dc:language>es-MX</dc:language>
</cp:coreProperties>
</file>