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3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ANDREA\D013 CONJUNTO TOP Y PANTHY\"/>
    </mc:Choice>
  </mc:AlternateContent>
  <xr:revisionPtr revIDLastSave="0" documentId="13_ncr:1_{851F9192-82FA-4CBD-99E2-5ED2F0404B0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6" i="1" l="1"/>
  <c r="AA16" i="1"/>
  <c r="X18" i="1"/>
  <c r="X16" i="1"/>
  <c r="W16" i="1"/>
  <c r="W18" i="1"/>
  <c r="AB21" i="1"/>
  <c r="AB22" i="1" s="1"/>
  <c r="AA21" i="1"/>
  <c r="AA22" i="1" s="1"/>
  <c r="AB18" i="1"/>
  <c r="AB19" i="1" s="1"/>
  <c r="AA18" i="1"/>
  <c r="AA19" i="1" s="1"/>
  <c r="X19" i="1"/>
  <c r="W19" i="1"/>
  <c r="V19" i="1" s="1"/>
  <c r="X17" i="1"/>
  <c r="W17" i="1"/>
  <c r="V17" i="1" s="1"/>
  <c r="AB10" i="1"/>
  <c r="AA10" i="1"/>
  <c r="AB9" i="1"/>
  <c r="AA9" i="1"/>
  <c r="AB7" i="1"/>
  <c r="AA7" i="1"/>
  <c r="AB6" i="1"/>
  <c r="AA6" i="1"/>
  <c r="AB4" i="1"/>
  <c r="AA4" i="1"/>
  <c r="X6" i="1"/>
  <c r="X7" i="1" s="1"/>
  <c r="X4" i="1"/>
  <c r="X5" i="1" s="1"/>
  <c r="W6" i="1"/>
  <c r="W7" i="1" s="1"/>
  <c r="V7" i="1" s="1"/>
  <c r="W4" i="1"/>
  <c r="W5" i="1" s="1"/>
  <c r="V5" i="1" s="1"/>
</calcChain>
</file>

<file path=xl/sharedStrings.xml><?xml version="1.0" encoding="utf-8"?>
<sst xmlns="http://schemas.openxmlformats.org/spreadsheetml/2006/main" count="99" uniqueCount="53">
  <si>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</si>
  <si>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</si>
  <si>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</si>
  <si>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</si>
  <si>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</si>
  <si>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</si>
  <si>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</si>
  <si>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</si>
  <si>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</si>
  <si>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</si>
  <si>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</si>
  <si>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</si>
  <si>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</si>
  <si>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</si>
  <si>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</si>
  <si>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</si>
  <si>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</si>
  <si>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MEDIANA</t>
  </si>
  <si>
    <t>CHICA</t>
  </si>
  <si>
    <t>GRANDE</t>
  </si>
  <si>
    <t>PANTHY</t>
  </si>
  <si>
    <t>PARES</t>
  </si>
  <si>
    <t>FOTO TOP</t>
  </si>
  <si>
    <t>POLIESTER</t>
  </si>
  <si>
    <t>NONES</t>
  </si>
  <si>
    <t>LICRA TEXAS</t>
  </si>
  <si>
    <t>20/40/24</t>
  </si>
  <si>
    <t>D013P36M</t>
  </si>
  <si>
    <t>D013T36M</t>
  </si>
  <si>
    <t>TOP</t>
  </si>
  <si>
    <t>BLANCO 83/144</t>
  </si>
  <si>
    <t>D013P39X</t>
  </si>
  <si>
    <t>D013T39X</t>
  </si>
  <si>
    <t>-</t>
  </si>
  <si>
    <t>D013P37M</t>
  </si>
  <si>
    <t>D013T37M</t>
  </si>
  <si>
    <t>D013P40X</t>
  </si>
  <si>
    <t>D013T40X</t>
  </si>
  <si>
    <t>CONJUNTO PANTHY Y TOP TIRANTE CON TEJIDO JAQUARD EN ZIG-ZAG</t>
  </si>
  <si>
    <t>No. de modelo Andrea:</t>
  </si>
  <si>
    <t>FOTO PANTHY</t>
  </si>
  <si>
    <t>LIKRA</t>
  </si>
  <si>
    <t>Piezas</t>
  </si>
  <si>
    <t>hilatura</t>
  </si>
  <si>
    <t>Maq #37</t>
  </si>
  <si>
    <t>Maq#40</t>
  </si>
  <si>
    <t>Cantidad</t>
  </si>
  <si>
    <t>Tiempo</t>
  </si>
  <si>
    <t>pzas x hr</t>
  </si>
  <si>
    <t>12 hrs</t>
  </si>
  <si>
    <t>sin velar</t>
  </si>
  <si>
    <t>24hrs</t>
  </si>
  <si>
    <t>Velando 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</si>
</sst>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sz val="16"/>
      <color rgb="FF000000"/>
      <name val="Bahnschrift SemiBold Condensed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59999389629810485"/>
        <bgColor rgb="FFFFFFCC"/>
      </patternFill>
    </fill>
    <fill>
      <patternFill patternType="solid">
        <fgColor theme="6" tint="0.59999389629810485"/>
        <bgColor rgb="FFFFFFCC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/>
      <bottom style="thin">
        <color theme="3" tint="0.249977111117893"/>
      </bottom>
      <diagonal/>
    </border>
    <border>
      <left/>
      <right/>
      <top/>
      <bottom style="thin">
        <color theme="3" tint="0.249977111117893"/>
      </bottom>
      <diagonal/>
    </border>
    <border>
      <left/>
      <right style="medium">
        <color indexed="64"/>
      </right>
      <top/>
      <bottom style="thin">
        <color theme="3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8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22" fillId="7" borderId="10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22" xfId="0" applyFont="1" applyFill="1" applyBorder="1" applyAlignment="1">
      <alignment vertical="center" wrapText="1"/>
    </xf>
    <xf numFmtId="0" fontId="21" fillId="7" borderId="13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49" fontId="18" fillId="4" borderId="27" xfId="0" applyNumberFormat="1" applyFont="1" applyFill="1" applyBorder="1" applyAlignment="1">
      <alignment horizontal="center" vertical="center" wrapText="1"/>
    </xf>
    <xf numFmtId="49" fontId="18" fillId="4" borderId="30" xfId="0" applyNumberFormat="1" applyFont="1" applyFill="1" applyBorder="1" applyAlignment="1">
      <alignment horizontal="center" vertical="center" wrapText="1"/>
    </xf>
    <xf numFmtId="49" fontId="18" fillId="4" borderId="24" xfId="0" applyNumberFormat="1" applyFont="1" applyFill="1" applyBorder="1" applyAlignment="1">
      <alignment horizontal="center" vertical="center" wrapText="1"/>
    </xf>
    <xf numFmtId="49" fontId="18" fillId="4" borderId="29" xfId="0" applyNumberFormat="1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9" fontId="12" fillId="6" borderId="12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45" fontId="4" fillId="3" borderId="4" xfId="0" applyNumberFormat="1" applyFont="1" applyFill="1" applyBorder="1" applyAlignment="1">
      <alignment horizontal="center" vertical="center" wrapText="1"/>
    </xf>
    <xf numFmtId="46" fontId="9" fillId="3" borderId="11" xfId="0" applyNumberFormat="1" applyFont="1" applyFill="1" applyBorder="1" applyAlignment="1">
      <alignment horizontal="center" vertical="center" wrapText="1"/>
    </xf>
    <xf numFmtId="45" fontId="7" fillId="3" borderId="14" xfId="0" applyNumberFormat="1" applyFont="1" applyFill="1" applyBorder="1" applyAlignment="1">
      <alignment horizontal="center" vertical="center" wrapText="1"/>
    </xf>
    <xf numFmtId="46" fontId="9" fillId="3" borderId="17" xfId="0" applyNumberFormat="1" applyFont="1" applyFill="1" applyBorder="1" applyAlignment="1">
      <alignment horizontal="center" vertical="center" wrapText="1"/>
    </xf>
    <xf numFmtId="46" fontId="9" fillId="3" borderId="7" xfId="0" applyNumberFormat="1" applyFont="1" applyFill="1" applyBorder="1" applyAlignment="1">
      <alignment horizontal="center" vertical="center" wrapText="1"/>
    </xf>
    <xf numFmtId="45" fontId="7" fillId="3" borderId="4" xfId="0" applyNumberFormat="1" applyFont="1" applyFill="1" applyBorder="1" applyAlignment="1">
      <alignment horizontal="center" vertical="center" wrapText="1"/>
    </xf>
    <xf numFmtId="45" fontId="7" fillId="3" borderId="15" xfId="0" applyNumberFormat="1" applyFont="1" applyFill="1" applyBorder="1" applyAlignment="1">
      <alignment horizontal="center" vertical="center" wrapText="1"/>
    </xf>
    <xf numFmtId="46" fontId="9" fillId="3" borderId="18" xfId="0" applyNumberFormat="1" applyFont="1" applyFill="1" applyBorder="1" applyAlignment="1">
      <alignment horizontal="center" vertical="center" wrapText="1"/>
    </xf>
    <xf numFmtId="46" fontId="9" fillId="3" borderId="10" xfId="0" applyNumberFormat="1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13" fillId="0" borderId="0" xfId="0" applyFont="1"/>
    <xf numFmtId="0" fontId="2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right"/>
    </xf>
    <xf numFmtId="1" fontId="26" fillId="0" borderId="0" xfId="0" applyNumberFormat="1" applyFont="1" applyAlignment="1">
      <alignment horizontal="center" vertical="center"/>
    </xf>
    <xf numFmtId="164" fontId="26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 vertical="center"/>
    </xf>
    <xf numFmtId="0" fontId="26" fillId="0" borderId="34" xfId="0" applyFont="1" applyBorder="1" applyAlignment="1">
      <alignment horizontal="right"/>
    </xf>
    <xf numFmtId="1" fontId="26" fillId="0" borderId="35" xfId="0" applyNumberFormat="1" applyFont="1" applyBorder="1" applyAlignment="1">
      <alignment horizontal="center" vertical="center"/>
    </xf>
    <xf numFmtId="164" fontId="26" fillId="0" borderId="35" xfId="0" applyNumberFormat="1" applyFont="1" applyBorder="1" applyAlignment="1">
      <alignment horizontal="center"/>
    </xf>
    <xf numFmtId="0" fontId="26" fillId="0" borderId="34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24" fillId="0" borderId="0" xfId="0" applyFont="1"/>
    <xf numFmtId="45" fontId="0" fillId="0" borderId="0" xfId="0" applyNumberForma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26" fillId="0" borderId="35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492673</xdr:colOff>
      <xdr:row>22</xdr:row>
      <xdr:rowOff>102682</xdr:rowOff>
    </xdr:from>
    <xdr:to>
      <xdr:col>21</xdr:col>
      <xdr:colOff>105105</xdr:colOff>
      <xdr:row>31</xdr:row>
      <xdr:rowOff>19709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87EF94-DC0E-4392-A865-2CE82B3B5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41" b="92603" l="9651" r="94661">
                      <a14:foregroundMark x1="83984" y1="47397" x2="83984" y2="47397"/>
                      <a14:foregroundMark x1="87064" y1="44110" x2="88843" y2="42844"/>
                      <a14:foregroundMark x1="26078" y1="13151" x2="16632" y2="10411"/>
                      <a14:foregroundMark x1="32649" y1="12603" x2="25257" y2="12603"/>
                      <a14:foregroundMark x1="48460" y1="91233" x2="19507" y2="88219"/>
                      <a14:foregroundMark x1="26489" y1="90411" x2="14990" y2="90959"/>
                      <a14:foregroundMark x1="19507" y1="92603" x2="15606" y2="92603"/>
                      <a14:foregroundMark x1="93224" y1="60548" x2="94243" y2="53945"/>
                      <a14:backgroundMark x1="96920" y1="54521" x2="93224" y2="50959"/>
                      <a14:backgroundMark x1="94251" y1="38082" x2="91581" y2="44658"/>
                      <a14:backgroundMark x1="71663" y1="49863" x2="65708" y2="498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282" t="13579" b="7805"/>
        <a:stretch/>
      </xdr:blipFill>
      <xdr:spPr bwMode="auto">
        <a:xfrm rot="16200000">
          <a:off x="7369169" y="4531376"/>
          <a:ext cx="1690648" cy="1162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197070</xdr:colOff>
      <xdr:row>3</xdr:row>
      <xdr:rowOff>65690</xdr:rowOff>
    </xdr:from>
    <xdr:to>
      <xdr:col>3</xdr:col>
      <xdr:colOff>262758</xdr:colOff>
      <xdr:row>8</xdr:row>
      <xdr:rowOff>193130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719CE0-4D6E-3D3C-C941-D58037266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892" t="6175" r="4958" b="-1"/>
        <a:stretch/>
      </xdr:blipFill>
      <xdr:spPr>
        <a:xfrm>
          <a:off x="275898" y="525518"/>
          <a:ext cx="1208688" cy="1191612"/>
        </a:xfrm>
        <a:prstGeom prst="rect">
          <a:avLst/>
        </a:prstGeom>
      </xdr:spPr>
    </xdr:pic>
    <xdr:clientData/>
  </xdr:twoCellAnchor>
  <xdr:twoCellAnchor editAs="oneCell">
    <xdr:from>
      <xdr:col>1</xdr:col>
      <xdr:colOff>26277</xdr:colOff>
      <xdr:row>19</xdr:row>
      <xdr:rowOff>151086</xdr:rowOff>
    </xdr:from>
    <xdr:to>
      <xdr:col>3</xdr:col>
      <xdr:colOff>92950</xdr:colOff>
      <xdr:row>29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5EE029F-2156-22F9-D5C2-919ABE820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91" t="3783" r="29341" b="29137"/>
        <a:stretch/>
      </xdr:blipFill>
      <xdr:spPr>
        <a:xfrm>
          <a:off x="105105" y="3724603"/>
          <a:ext cx="1209673" cy="2010104"/>
        </a:xfrm>
        <a:prstGeom prst="rect">
          <a:avLst/>
        </a:prstGeom>
      </xdr:spPr>
    </xdr:pic>
    <xdr:clientData/>
  </xdr:twoCellAnchor>
  <xdr:twoCellAnchor editAs="oneCell">
    <xdr:from>
      <xdr:col>1</xdr:col>
      <xdr:colOff>105103</xdr:colOff>
      <xdr:row>9</xdr:row>
      <xdr:rowOff>13138</xdr:rowOff>
    </xdr:from>
    <xdr:to>
      <xdr:col>3</xdr:col>
      <xdr:colOff>479534</xdr:colOff>
      <xdr:row>14</xdr:row>
      <xdr:rowOff>140163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52E091E-F74F-4DFB-AF7F-38615B37A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14" t="67519" r="19728"/>
        <a:stretch/>
      </xdr:blipFill>
      <xdr:spPr>
        <a:xfrm>
          <a:off x="183931" y="1707931"/>
          <a:ext cx="1517431" cy="1112370"/>
        </a:xfrm>
        <a:prstGeom prst="rect">
          <a:avLst/>
        </a:prstGeom>
      </xdr:spPr>
    </xdr:pic>
    <xdr:clientData/>
  </xdr:twoCellAnchor>
  <xdr:twoCellAnchor editAs="oneCell">
    <xdr:from>
      <xdr:col>19</xdr:col>
      <xdr:colOff>39413</xdr:colOff>
      <xdr:row>0</xdr:row>
      <xdr:rowOff>0</xdr:rowOff>
    </xdr:from>
    <xdr:to>
      <xdr:col>20</xdr:col>
      <xdr:colOff>742294</xdr:colOff>
      <xdr:row>5</xdr:row>
      <xdr:rowOff>30690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14034A5-E1F6-4C32-923E-BD6CFA341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14" t="67519" r="19728"/>
        <a:stretch/>
      </xdr:blipFill>
      <xdr:spPr>
        <a:xfrm>
          <a:off x="7179879" y="0"/>
          <a:ext cx="1484587" cy="1088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5"/>
  <sheetViews>
    <sheetView showGridLines="0" tabSelected="1" zoomScale="145" zoomScaleNormal="145" workbookViewId="0">
      <selection activeCell="T9" sqref="T9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  <col min="20" max="20" width="11.7109375" customWidth="1"/>
    <col min="21" max="21" width="11.5703125" customWidth="1"/>
    <col min="22" max="22" width="9.42578125" bestFit="1" customWidth="1"/>
    <col min="23" max="23" width="9.5703125" bestFit="1" customWidth="1"/>
    <col min="24" max="24" width="8.42578125" bestFit="1" customWidth="1"/>
    <col min="25" max="25" width="4.7109375" customWidth="1"/>
    <col min="26" max="26" width="8.85546875" bestFit="1" customWidth="1"/>
    <col min="27" max="27" width="11" bestFit="1" customWidth="1"/>
    <col min="28" max="28" width="10.42578125" bestFit="1" customWidth="1"/>
  </cols>
  <sheetData>
    <row r="1" spans="1:28" ht="19.5" thickBot="1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V1" s="173" t="s">
        <v>43</v>
      </c>
      <c r="W1" s="174"/>
      <c r="X1" s="174"/>
      <c r="AA1" s="176" t="s">
        <v>44</v>
      </c>
      <c r="AB1" s="176" t="s">
        <v>45</v>
      </c>
    </row>
    <row r="2" spans="1:28" ht="15.95" customHeight="1" thickBot="1" x14ac:dyDescent="0.3">
      <c r="B2" s="80" t="s">
        <v>40</v>
      </c>
      <c r="C2" s="80"/>
      <c r="D2" s="80"/>
      <c r="E2" s="1"/>
      <c r="F2" s="85" t="s">
        <v>1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W2" s="160" t="s">
        <v>17</v>
      </c>
      <c r="X2" s="160" t="s">
        <v>19</v>
      </c>
      <c r="AA2" s="175" t="s">
        <v>17</v>
      </c>
      <c r="AB2" s="175" t="s">
        <v>19</v>
      </c>
    </row>
    <row r="3" spans="1:28" ht="15.95" customHeight="1" x14ac:dyDescent="0.25">
      <c r="B3" s="81"/>
      <c r="C3" s="81"/>
      <c r="D3" s="81"/>
      <c r="E3" s="2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V3" s="172" t="s">
        <v>42</v>
      </c>
      <c r="W3" s="161">
        <v>384</v>
      </c>
      <c r="X3" s="161">
        <v>312</v>
      </c>
      <c r="Z3" s="164" t="s">
        <v>46</v>
      </c>
      <c r="AA3" s="161">
        <v>384</v>
      </c>
      <c r="AB3" s="161">
        <v>312</v>
      </c>
    </row>
    <row r="4" spans="1:28" ht="12.95" customHeight="1" x14ac:dyDescent="0.25">
      <c r="B4" s="11"/>
      <c r="C4" s="12"/>
      <c r="D4" s="13"/>
      <c r="E4" s="2"/>
      <c r="F4" s="82" t="s">
        <v>38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4"/>
      <c r="V4" s="171" t="s">
        <v>41</v>
      </c>
      <c r="W4" s="162">
        <f>L13*40%</f>
        <v>0.28296000000000004</v>
      </c>
      <c r="X4" s="162">
        <f>P13*40%</f>
        <v>0.30180000000000001</v>
      </c>
      <c r="Z4" s="164" t="s">
        <v>47</v>
      </c>
      <c r="AA4" s="177">
        <f>L15</f>
        <v>1.7592592592592592E-3</v>
      </c>
      <c r="AB4" s="177">
        <f>P15</f>
        <v>1.8518518518518519E-3</v>
      </c>
    </row>
    <row r="5" spans="1:28" ht="19.5" x14ac:dyDescent="0.3">
      <c r="B5" s="11"/>
      <c r="C5" s="12"/>
      <c r="D5" s="13"/>
      <c r="E5" s="3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4"/>
      <c r="V5" s="169">
        <f>SUM(W5:X5)</f>
        <v>202.81824</v>
      </c>
      <c r="W5" s="165">
        <f>W4*W3</f>
        <v>108.65664000000001</v>
      </c>
      <c r="X5" s="166">
        <f>X4*X3</f>
        <v>94.161600000000007</v>
      </c>
      <c r="Z5" s="164" t="s">
        <v>48</v>
      </c>
      <c r="AA5" s="178">
        <v>20</v>
      </c>
      <c r="AB5" s="178">
        <v>20</v>
      </c>
    </row>
    <row r="6" spans="1:28" ht="20.25" customHeight="1" thickBot="1" x14ac:dyDescent="0.35">
      <c r="B6" s="11"/>
      <c r="C6" s="12"/>
      <c r="D6" s="13"/>
      <c r="E6" s="3"/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4"/>
      <c r="V6" s="168" t="s">
        <v>13</v>
      </c>
      <c r="W6" s="163">
        <f>L13*30%</f>
        <v>0.21221999999999999</v>
      </c>
      <c r="X6" s="163">
        <f>P13*30%</f>
        <v>0.22634999999999997</v>
      </c>
      <c r="Z6" s="164" t="s">
        <v>49</v>
      </c>
      <c r="AA6" s="178">
        <f>AA5*11</f>
        <v>220</v>
      </c>
      <c r="AB6" s="178">
        <f>AB5*11</f>
        <v>220</v>
      </c>
    </row>
    <row r="7" spans="1:28" ht="15.95" customHeight="1" thickBot="1" x14ac:dyDescent="0.35">
      <c r="B7" s="11"/>
      <c r="C7" s="12"/>
      <c r="D7" s="13"/>
      <c r="E7" s="3"/>
      <c r="F7" s="71" t="s">
        <v>3</v>
      </c>
      <c r="G7" s="71"/>
      <c r="H7" s="105" t="s">
        <v>18</v>
      </c>
      <c r="I7" s="106"/>
      <c r="J7" s="106"/>
      <c r="K7" s="107"/>
      <c r="L7" s="97" t="s">
        <v>17</v>
      </c>
      <c r="M7" s="98"/>
      <c r="N7" s="98"/>
      <c r="O7" s="99"/>
      <c r="P7" s="91" t="s">
        <v>19</v>
      </c>
      <c r="Q7" s="92"/>
      <c r="R7" s="92"/>
      <c r="S7" s="93"/>
      <c r="V7" s="170">
        <f>SUM(W7:X7)</f>
        <v>152.11367999999999</v>
      </c>
      <c r="W7" s="167">
        <f>W6*W3</f>
        <v>81.49248</v>
      </c>
      <c r="X7" s="167">
        <f>X6*X3</f>
        <v>70.621199999999988</v>
      </c>
      <c r="Z7" s="160" t="s">
        <v>50</v>
      </c>
      <c r="AA7" s="161">
        <f>AA6*6</f>
        <v>1320</v>
      </c>
      <c r="AB7" s="161">
        <f>AB6*6</f>
        <v>1320</v>
      </c>
    </row>
    <row r="8" spans="1:28" ht="15.95" customHeight="1" thickBot="1" x14ac:dyDescent="0.3">
      <c r="B8" s="11"/>
      <c r="C8" s="12"/>
      <c r="D8" s="13"/>
      <c r="E8" s="3"/>
      <c r="F8" s="71"/>
      <c r="G8" s="71"/>
      <c r="H8" s="108"/>
      <c r="I8" s="109"/>
      <c r="J8" s="109"/>
      <c r="K8" s="110"/>
      <c r="L8" s="100"/>
      <c r="M8" s="101"/>
      <c r="N8" s="101"/>
      <c r="O8" s="102"/>
      <c r="P8" s="94"/>
      <c r="Q8" s="95"/>
      <c r="R8" s="95"/>
      <c r="S8" s="96"/>
      <c r="Z8" s="160"/>
    </row>
    <row r="9" spans="1:28" ht="15.95" customHeight="1" thickBot="1" x14ac:dyDescent="0.3">
      <c r="B9" s="11"/>
      <c r="C9" s="12"/>
      <c r="D9" s="13"/>
      <c r="E9" s="3"/>
      <c r="F9" s="71" t="s">
        <v>2</v>
      </c>
      <c r="G9" s="71"/>
      <c r="H9" s="111"/>
      <c r="I9" s="112"/>
      <c r="J9" s="115"/>
      <c r="K9" s="112"/>
      <c r="L9" s="127" t="s">
        <v>20</v>
      </c>
      <c r="M9" s="128"/>
      <c r="N9" s="129" t="s">
        <v>29</v>
      </c>
      <c r="O9" s="128"/>
      <c r="P9" s="127" t="s">
        <v>20</v>
      </c>
      <c r="Q9" s="128"/>
      <c r="R9" s="129" t="s">
        <v>29</v>
      </c>
      <c r="S9" s="130"/>
      <c r="Z9" s="179" t="s">
        <v>51</v>
      </c>
      <c r="AA9" s="178">
        <f>AA5*24</f>
        <v>480</v>
      </c>
      <c r="AB9" s="178">
        <f>AB5*24</f>
        <v>480</v>
      </c>
    </row>
    <row r="10" spans="1:28" ht="15.95" customHeight="1" thickBot="1" x14ac:dyDescent="0.3">
      <c r="B10" s="11"/>
      <c r="C10" s="12"/>
      <c r="D10" s="13"/>
      <c r="E10" s="3"/>
      <c r="F10" s="71"/>
      <c r="G10" s="71"/>
      <c r="H10" s="113"/>
      <c r="I10" s="114"/>
      <c r="J10" s="116"/>
      <c r="K10" s="114"/>
      <c r="L10" s="131"/>
      <c r="M10" s="132"/>
      <c r="N10" s="133"/>
      <c r="O10" s="132"/>
      <c r="P10" s="131"/>
      <c r="Q10" s="132"/>
      <c r="R10" s="133"/>
      <c r="S10" s="134"/>
      <c r="Z10" s="164" t="s">
        <v>52</v>
      </c>
      <c r="AA10" s="178">
        <f>AA9*5.5</f>
        <v>2640</v>
      </c>
      <c r="AB10" s="178">
        <f>AB9*5.5</f>
        <v>2640</v>
      </c>
    </row>
    <row r="11" spans="1:28" ht="15.95" customHeight="1" thickBot="1" x14ac:dyDescent="0.3">
      <c r="B11" s="11"/>
      <c r="C11" s="12"/>
      <c r="D11" s="13"/>
      <c r="E11" s="3"/>
      <c r="F11" s="71" t="s">
        <v>4</v>
      </c>
      <c r="G11" s="71"/>
      <c r="H11" s="119"/>
      <c r="I11" s="120"/>
      <c r="J11" s="123"/>
      <c r="K11" s="124"/>
      <c r="L11" s="152" t="s">
        <v>34</v>
      </c>
      <c r="M11" s="153"/>
      <c r="N11" s="154" t="s">
        <v>35</v>
      </c>
      <c r="O11" s="155"/>
      <c r="P11" s="152" t="s">
        <v>36</v>
      </c>
      <c r="Q11" s="153"/>
      <c r="R11" s="154" t="s">
        <v>37</v>
      </c>
      <c r="S11" s="156"/>
    </row>
    <row r="12" spans="1:28" ht="15.95" customHeight="1" thickBot="1" x14ac:dyDescent="0.3">
      <c r="B12" s="11"/>
      <c r="C12" s="12"/>
      <c r="D12" s="13"/>
      <c r="E12" s="3"/>
      <c r="F12" s="71"/>
      <c r="G12" s="71"/>
      <c r="H12" s="119"/>
      <c r="I12" s="120"/>
      <c r="J12" s="125"/>
      <c r="K12" s="126"/>
      <c r="L12" s="152"/>
      <c r="M12" s="153"/>
      <c r="N12" s="157"/>
      <c r="O12" s="158"/>
      <c r="P12" s="152"/>
      <c r="Q12" s="153"/>
      <c r="R12" s="157"/>
      <c r="S12" s="159"/>
    </row>
    <row r="13" spans="1:28" ht="15.95" customHeight="1" thickBot="1" x14ac:dyDescent="0.35">
      <c r="B13" s="11"/>
      <c r="C13" s="12"/>
      <c r="D13" s="13"/>
      <c r="E13" s="3"/>
      <c r="F13" s="71" t="s">
        <v>5</v>
      </c>
      <c r="G13" s="71"/>
      <c r="H13" s="117"/>
      <c r="I13" s="118" t="s">
        <v>6</v>
      </c>
      <c r="J13" s="75"/>
      <c r="K13" s="121" t="s">
        <v>6</v>
      </c>
      <c r="L13" s="135">
        <v>0.70740000000000003</v>
      </c>
      <c r="M13" s="136" t="s">
        <v>6</v>
      </c>
      <c r="N13" s="137">
        <v>0.87619999999999998</v>
      </c>
      <c r="O13" s="138" t="s">
        <v>6</v>
      </c>
      <c r="P13" s="135">
        <v>0.75449999999999995</v>
      </c>
      <c r="Q13" s="136" t="s">
        <v>6</v>
      </c>
      <c r="R13" s="137">
        <v>0.93459999999999999</v>
      </c>
      <c r="S13" s="139" t="s">
        <v>6</v>
      </c>
      <c r="V13" s="173" t="s">
        <v>43</v>
      </c>
      <c r="W13" s="174"/>
      <c r="X13" s="174"/>
      <c r="AA13" s="176" t="s">
        <v>44</v>
      </c>
      <c r="AB13" s="176" t="s">
        <v>45</v>
      </c>
    </row>
    <row r="14" spans="1:28" ht="15.95" customHeight="1" thickBot="1" x14ac:dyDescent="0.3">
      <c r="B14" s="11"/>
      <c r="C14" s="12"/>
      <c r="D14" s="13"/>
      <c r="E14" s="3"/>
      <c r="F14" s="71"/>
      <c r="G14" s="71"/>
      <c r="H14" s="117"/>
      <c r="I14" s="118"/>
      <c r="J14" s="76"/>
      <c r="K14" s="122"/>
      <c r="L14" s="135"/>
      <c r="M14" s="136"/>
      <c r="N14" s="140"/>
      <c r="O14" s="141"/>
      <c r="P14" s="135"/>
      <c r="Q14" s="136"/>
      <c r="R14" s="140"/>
      <c r="S14" s="142"/>
      <c r="W14" s="160" t="s">
        <v>17</v>
      </c>
      <c r="X14" s="160" t="s">
        <v>19</v>
      </c>
      <c r="AA14" s="175" t="s">
        <v>17</v>
      </c>
      <c r="AB14" s="175" t="s">
        <v>19</v>
      </c>
    </row>
    <row r="15" spans="1:28" ht="15.95" customHeight="1" thickBot="1" x14ac:dyDescent="0.3">
      <c r="B15" s="11"/>
      <c r="C15" s="12"/>
      <c r="D15" s="13"/>
      <c r="E15" s="3"/>
      <c r="F15" s="71" t="s">
        <v>7</v>
      </c>
      <c r="G15" s="71"/>
      <c r="H15" s="79"/>
      <c r="I15" s="72" t="s">
        <v>8</v>
      </c>
      <c r="J15" s="73"/>
      <c r="K15" s="77" t="s">
        <v>8</v>
      </c>
      <c r="L15" s="143">
        <v>1.7592592592592592E-3</v>
      </c>
      <c r="M15" s="144" t="s">
        <v>8</v>
      </c>
      <c r="N15" s="145">
        <v>2.0601851851851853E-3</v>
      </c>
      <c r="O15" s="146" t="s">
        <v>8</v>
      </c>
      <c r="P15" s="143">
        <v>1.8518518518518519E-3</v>
      </c>
      <c r="Q15" s="144" t="s">
        <v>8</v>
      </c>
      <c r="R15" s="145">
        <v>2.1527777777777778E-3</v>
      </c>
      <c r="S15" s="147" t="s">
        <v>8</v>
      </c>
      <c r="V15" s="172" t="s">
        <v>42</v>
      </c>
      <c r="W15" s="161">
        <v>432</v>
      </c>
      <c r="X15" s="161">
        <v>408</v>
      </c>
      <c r="Z15" s="164" t="s">
        <v>46</v>
      </c>
      <c r="AA15" s="161">
        <v>432</v>
      </c>
      <c r="AB15" s="161">
        <v>408</v>
      </c>
    </row>
    <row r="16" spans="1:28" ht="15.95" customHeight="1" thickBot="1" x14ac:dyDescent="0.3">
      <c r="B16" s="14" t="s">
        <v>39</v>
      </c>
      <c r="C16" s="15"/>
      <c r="D16" s="10">
        <v>43576</v>
      </c>
      <c r="E16" s="3"/>
      <c r="F16" s="71"/>
      <c r="G16" s="71"/>
      <c r="H16" s="79"/>
      <c r="I16" s="72"/>
      <c r="J16" s="74"/>
      <c r="K16" s="78"/>
      <c r="L16" s="148"/>
      <c r="M16" s="144"/>
      <c r="N16" s="149"/>
      <c r="O16" s="150"/>
      <c r="P16" s="148"/>
      <c r="Q16" s="144"/>
      <c r="R16" s="149"/>
      <c r="S16" s="151"/>
      <c r="V16" s="171" t="s">
        <v>41</v>
      </c>
      <c r="W16" s="162">
        <f>N13*40%</f>
        <v>0.35048000000000001</v>
      </c>
      <c r="X16" s="162">
        <f>R13*40%</f>
        <v>0.37384000000000001</v>
      </c>
      <c r="Z16" s="164" t="s">
        <v>47</v>
      </c>
      <c r="AA16" s="177">
        <f>N15</f>
        <v>2.0601851851851853E-3</v>
      </c>
      <c r="AB16" s="177">
        <f>R15</f>
        <v>2.1527777777777778E-3</v>
      </c>
    </row>
    <row r="17" spans="2:28" ht="20.25" thickBot="1" x14ac:dyDescent="0.35">
      <c r="B17" s="7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6"/>
      <c r="O17" s="5"/>
      <c r="P17" s="4"/>
      <c r="Q17" s="4"/>
      <c r="R17" s="6"/>
      <c r="S17" s="5"/>
      <c r="V17" s="169">
        <f>SUM(W17:X17)</f>
        <v>303.93407999999999</v>
      </c>
      <c r="W17" s="165">
        <f>W16*W15</f>
        <v>151.40736000000001</v>
      </c>
      <c r="X17" s="166">
        <f>X16*X15</f>
        <v>152.52672000000001</v>
      </c>
      <c r="Z17" s="164" t="s">
        <v>48</v>
      </c>
      <c r="AA17" s="178">
        <v>19</v>
      </c>
      <c r="AB17" s="178">
        <v>18</v>
      </c>
    </row>
    <row r="18" spans="2:28" ht="15.95" customHeight="1" thickBot="1" x14ac:dyDescent="0.35">
      <c r="B18" s="80" t="s">
        <v>22</v>
      </c>
      <c r="C18" s="103"/>
      <c r="D18" s="103"/>
      <c r="F18" s="51" t="s">
        <v>9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3"/>
      <c r="V18" s="168" t="s">
        <v>13</v>
      </c>
      <c r="W18" s="163">
        <f>N13*30%</f>
        <v>0.26285999999999998</v>
      </c>
      <c r="X18" s="163">
        <f>R13*30%</f>
        <v>0.28037999999999996</v>
      </c>
      <c r="Z18" s="164" t="s">
        <v>49</v>
      </c>
      <c r="AA18" s="178">
        <f>AA17*11</f>
        <v>209</v>
      </c>
      <c r="AB18" s="178">
        <f>AB17*11</f>
        <v>198</v>
      </c>
    </row>
    <row r="19" spans="2:28" ht="15.95" customHeight="1" thickBot="1" x14ac:dyDescent="0.35">
      <c r="B19" s="104"/>
      <c r="C19" s="104"/>
      <c r="D19" s="104"/>
      <c r="F19" s="54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6"/>
      <c r="V19" s="180">
        <f>SUM(W19:X19)</f>
        <v>227.95055999999997</v>
      </c>
      <c r="W19" s="167">
        <f>W18*W15</f>
        <v>113.55551999999999</v>
      </c>
      <c r="X19" s="167">
        <f>X18*X15</f>
        <v>114.39503999999998</v>
      </c>
      <c r="Z19" s="160" t="s">
        <v>50</v>
      </c>
      <c r="AA19" s="161">
        <f>AA18*6</f>
        <v>1254</v>
      </c>
      <c r="AB19" s="161">
        <f>AB18*6</f>
        <v>1188</v>
      </c>
    </row>
    <row r="20" spans="2:28" ht="15.95" customHeight="1" thickBot="1" x14ac:dyDescent="0.3">
      <c r="B20" s="16"/>
      <c r="C20" s="17"/>
      <c r="D20" s="18"/>
      <c r="F20" s="57" t="s">
        <v>14</v>
      </c>
      <c r="G20" s="58"/>
      <c r="H20" s="66" t="s">
        <v>10</v>
      </c>
      <c r="I20" s="66"/>
      <c r="J20" s="66"/>
      <c r="K20" s="66"/>
      <c r="L20" s="67"/>
      <c r="M20" s="65" t="s">
        <v>16</v>
      </c>
      <c r="N20" s="65"/>
      <c r="O20" s="25" t="s">
        <v>11</v>
      </c>
      <c r="P20" s="25"/>
      <c r="Q20" s="25"/>
      <c r="R20" s="25"/>
      <c r="S20" s="26"/>
      <c r="Z20" s="160"/>
    </row>
    <row r="21" spans="2:28" ht="15.95" customHeight="1" thickBot="1" x14ac:dyDescent="0.3">
      <c r="B21" s="19"/>
      <c r="C21" s="20"/>
      <c r="D21" s="21"/>
      <c r="F21" s="59"/>
      <c r="G21" s="60"/>
      <c r="H21" s="68"/>
      <c r="I21" s="68"/>
      <c r="J21" s="68"/>
      <c r="K21" s="68"/>
      <c r="L21" s="69"/>
      <c r="M21" s="65"/>
      <c r="N21" s="65"/>
      <c r="O21" s="27"/>
      <c r="P21" s="27"/>
      <c r="Q21" s="27"/>
      <c r="R21" s="27"/>
      <c r="S21" s="28"/>
      <c r="Z21" s="179" t="s">
        <v>51</v>
      </c>
      <c r="AA21" s="178">
        <f>AA17*24</f>
        <v>456</v>
      </c>
      <c r="AB21" s="178">
        <f>AB17*24</f>
        <v>432</v>
      </c>
    </row>
    <row r="22" spans="2:28" ht="15.95" customHeight="1" x14ac:dyDescent="0.25">
      <c r="B22" s="19"/>
      <c r="C22" s="20"/>
      <c r="D22" s="21"/>
      <c r="F22" s="61">
        <v>0.4</v>
      </c>
      <c r="G22" s="62"/>
      <c r="H22" s="70" t="s">
        <v>25</v>
      </c>
      <c r="I22" s="70"/>
      <c r="J22" s="70"/>
      <c r="K22" s="70"/>
      <c r="L22" s="64"/>
      <c r="M22" s="29">
        <v>2</v>
      </c>
      <c r="N22" s="29"/>
      <c r="O22" s="29" t="s">
        <v>12</v>
      </c>
      <c r="P22" s="29"/>
      <c r="Q22" s="29"/>
      <c r="R22" s="29"/>
      <c r="S22" s="30"/>
      <c r="Z22" s="164" t="s">
        <v>52</v>
      </c>
      <c r="AA22" s="178">
        <f>AA21*5.5</f>
        <v>2508</v>
      </c>
      <c r="AB22" s="178">
        <f>AB21*5.5</f>
        <v>2376</v>
      </c>
    </row>
    <row r="23" spans="2:28" ht="15.95" customHeight="1" thickBot="1" x14ac:dyDescent="0.3">
      <c r="B23" s="19"/>
      <c r="C23" s="20"/>
      <c r="D23" s="21"/>
      <c r="F23" s="43"/>
      <c r="G23" s="44"/>
      <c r="H23" s="50" t="s">
        <v>26</v>
      </c>
      <c r="I23" s="50"/>
      <c r="J23" s="50"/>
      <c r="K23" s="50"/>
      <c r="L23" s="49"/>
      <c r="M23" s="31"/>
      <c r="N23" s="31"/>
      <c r="O23" s="31"/>
      <c r="P23" s="31"/>
      <c r="Q23" s="31"/>
      <c r="R23" s="31"/>
      <c r="S23" s="32"/>
    </row>
    <row r="24" spans="2:28" ht="15.95" customHeight="1" x14ac:dyDescent="0.25">
      <c r="B24" s="19"/>
      <c r="C24" s="20"/>
      <c r="D24" s="21"/>
      <c r="F24" s="61">
        <v>0.3</v>
      </c>
      <c r="G24" s="62"/>
      <c r="H24" s="45" t="s">
        <v>13</v>
      </c>
      <c r="I24" s="45"/>
      <c r="J24" s="45"/>
      <c r="K24" s="45"/>
      <c r="L24" s="46"/>
      <c r="M24" s="63">
        <v>6</v>
      </c>
      <c r="N24" s="64"/>
      <c r="O24" s="33" t="s">
        <v>21</v>
      </c>
      <c r="P24" s="33"/>
      <c r="Q24" s="33"/>
      <c r="R24" s="33"/>
      <c r="S24" s="34"/>
    </row>
    <row r="25" spans="2:28" ht="15.95" customHeight="1" thickBot="1" x14ac:dyDescent="0.3">
      <c r="B25" s="19"/>
      <c r="C25" s="20"/>
      <c r="D25" s="21"/>
      <c r="F25" s="43"/>
      <c r="G25" s="44"/>
      <c r="H25" s="50" t="s">
        <v>15</v>
      </c>
      <c r="I25" s="50"/>
      <c r="J25" s="50"/>
      <c r="K25" s="50"/>
      <c r="L25" s="49"/>
      <c r="M25" s="48"/>
      <c r="N25" s="49"/>
      <c r="O25" s="35"/>
      <c r="P25" s="35"/>
      <c r="Q25" s="35"/>
      <c r="R25" s="35"/>
      <c r="S25" s="36"/>
    </row>
    <row r="26" spans="2:28" ht="15.95" customHeight="1" x14ac:dyDescent="0.25">
      <c r="B26" s="19"/>
      <c r="C26" s="20"/>
      <c r="D26" s="21"/>
      <c r="F26" s="61">
        <v>0.3</v>
      </c>
      <c r="G26" s="62"/>
      <c r="H26" s="45" t="s">
        <v>23</v>
      </c>
      <c r="I26" s="45"/>
      <c r="J26" s="45"/>
      <c r="K26" s="45"/>
      <c r="L26" s="46"/>
      <c r="M26" s="47">
        <v>6</v>
      </c>
      <c r="N26" s="46"/>
      <c r="O26" s="37" t="s">
        <v>24</v>
      </c>
      <c r="P26" s="37"/>
      <c r="Q26" s="37"/>
      <c r="R26" s="37"/>
      <c r="S26" s="38"/>
    </row>
    <row r="27" spans="2:28" ht="15.95" customHeight="1" thickBot="1" x14ac:dyDescent="0.3">
      <c r="B27" s="19"/>
      <c r="C27" s="20"/>
      <c r="D27" s="21"/>
      <c r="F27" s="43"/>
      <c r="G27" s="44"/>
      <c r="H27" s="50" t="s">
        <v>30</v>
      </c>
      <c r="I27" s="50"/>
      <c r="J27" s="50"/>
      <c r="K27" s="50"/>
      <c r="L27" s="49"/>
      <c r="M27" s="48"/>
      <c r="N27" s="49"/>
      <c r="O27" s="39"/>
      <c r="P27" s="39"/>
      <c r="Q27" s="39"/>
      <c r="R27" s="39"/>
      <c r="S27" s="40"/>
    </row>
    <row r="28" spans="2:28" ht="15.95" customHeight="1" x14ac:dyDescent="0.25">
      <c r="B28" s="19"/>
      <c r="C28" s="20"/>
      <c r="D28" s="21"/>
      <c r="F28" s="41"/>
      <c r="G28" s="42"/>
      <c r="H28" s="45"/>
      <c r="I28" s="45"/>
      <c r="J28" s="45"/>
      <c r="K28" s="45"/>
      <c r="L28" s="46"/>
      <c r="M28" s="47"/>
      <c r="N28" s="46"/>
      <c r="O28" s="37"/>
      <c r="P28" s="37"/>
      <c r="Q28" s="37"/>
      <c r="R28" s="37"/>
      <c r="S28" s="38"/>
    </row>
    <row r="29" spans="2:28" ht="15.95" customHeight="1" thickBot="1" x14ac:dyDescent="0.3">
      <c r="B29" s="19"/>
      <c r="C29" s="20"/>
      <c r="D29" s="21"/>
      <c r="F29" s="43"/>
      <c r="G29" s="44"/>
      <c r="H29" s="50"/>
      <c r="I29" s="50"/>
      <c r="J29" s="50"/>
      <c r="K29" s="50"/>
      <c r="L29" s="49"/>
      <c r="M29" s="48"/>
      <c r="N29" s="49"/>
      <c r="O29" s="39"/>
      <c r="P29" s="39"/>
      <c r="Q29" s="39"/>
      <c r="R29" s="39"/>
      <c r="S29" s="40"/>
    </row>
    <row r="30" spans="2:28" ht="15.95" customHeight="1" x14ac:dyDescent="0.25">
      <c r="B30" s="22"/>
      <c r="C30" s="23"/>
      <c r="D30" s="24"/>
      <c r="F30" s="41"/>
      <c r="G30" s="42"/>
      <c r="H30" s="45"/>
      <c r="I30" s="45"/>
      <c r="J30" s="45"/>
      <c r="K30" s="45"/>
      <c r="L30" s="46"/>
      <c r="M30" s="47"/>
      <c r="N30" s="46"/>
      <c r="O30" s="37"/>
      <c r="P30" s="37"/>
      <c r="Q30" s="37"/>
      <c r="R30" s="37"/>
      <c r="S30" s="38"/>
    </row>
    <row r="31" spans="2:28" ht="15.95" customHeight="1" thickBot="1" x14ac:dyDescent="0.3">
      <c r="B31" s="14" t="s">
        <v>39</v>
      </c>
      <c r="C31" s="15"/>
      <c r="D31" s="10">
        <v>43575</v>
      </c>
      <c r="F31" s="43"/>
      <c r="G31" s="44"/>
      <c r="H31" s="50"/>
      <c r="I31" s="50"/>
      <c r="J31" s="50"/>
      <c r="K31" s="50"/>
      <c r="L31" s="49"/>
      <c r="M31" s="48"/>
      <c r="N31" s="49"/>
      <c r="O31" s="39"/>
      <c r="P31" s="39"/>
      <c r="Q31" s="39"/>
      <c r="R31" s="39"/>
      <c r="S31" s="40"/>
    </row>
    <row r="32" spans="2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83">
    <mergeCell ref="V1:X1"/>
    <mergeCell ref="V13:X13"/>
    <mergeCell ref="B18:D19"/>
    <mergeCell ref="N15:N16"/>
    <mergeCell ref="L15:L16"/>
    <mergeCell ref="M15:M16"/>
    <mergeCell ref="H7:K8"/>
    <mergeCell ref="H9:I10"/>
    <mergeCell ref="J9:K10"/>
    <mergeCell ref="H13:H14"/>
    <mergeCell ref="I13:I14"/>
    <mergeCell ref="H11:I12"/>
    <mergeCell ref="K13:K14"/>
    <mergeCell ref="J11:K12"/>
    <mergeCell ref="B16:C16"/>
    <mergeCell ref="L11:M12"/>
    <mergeCell ref="N11:O12"/>
    <mergeCell ref="O15:O16"/>
    <mergeCell ref="B2:D3"/>
    <mergeCell ref="F7:G8"/>
    <mergeCell ref="F9:G10"/>
    <mergeCell ref="F11:G12"/>
    <mergeCell ref="F13:G14"/>
    <mergeCell ref="F4:S6"/>
    <mergeCell ref="F2:S3"/>
    <mergeCell ref="P7:S8"/>
    <mergeCell ref="P9:Q10"/>
    <mergeCell ref="R9:S10"/>
    <mergeCell ref="P11:Q12"/>
    <mergeCell ref="R11:S12"/>
    <mergeCell ref="L7:O8"/>
    <mergeCell ref="L9:M10"/>
    <mergeCell ref="N9:O10"/>
    <mergeCell ref="N13:N14"/>
    <mergeCell ref="F15:G16"/>
    <mergeCell ref="O13:O14"/>
    <mergeCell ref="L13:L14"/>
    <mergeCell ref="M13:M14"/>
    <mergeCell ref="I15:I16"/>
    <mergeCell ref="J15:J16"/>
    <mergeCell ref="J13:J14"/>
    <mergeCell ref="K15:K16"/>
    <mergeCell ref="H15:H16"/>
    <mergeCell ref="P13:P14"/>
    <mergeCell ref="Q13:Q14"/>
    <mergeCell ref="R13:R14"/>
    <mergeCell ref="S13:S14"/>
    <mergeCell ref="P15:P16"/>
    <mergeCell ref="Q15:Q16"/>
    <mergeCell ref="R15:R16"/>
    <mergeCell ref="S15:S16"/>
    <mergeCell ref="F18:S19"/>
    <mergeCell ref="F20:G21"/>
    <mergeCell ref="F22:G23"/>
    <mergeCell ref="F24:G25"/>
    <mergeCell ref="F26:G27"/>
    <mergeCell ref="H25:L25"/>
    <mergeCell ref="H26:L26"/>
    <mergeCell ref="M24:N25"/>
    <mergeCell ref="H24:L24"/>
    <mergeCell ref="H27:L27"/>
    <mergeCell ref="M26:N27"/>
    <mergeCell ref="M22:N23"/>
    <mergeCell ref="M20:N21"/>
    <mergeCell ref="H20:L21"/>
    <mergeCell ref="H22:L22"/>
    <mergeCell ref="H23:L23"/>
    <mergeCell ref="B31:C31"/>
    <mergeCell ref="B20:D30"/>
    <mergeCell ref="O20:S21"/>
    <mergeCell ref="O22:S23"/>
    <mergeCell ref="O24:S25"/>
    <mergeCell ref="O26:S27"/>
    <mergeCell ref="F28:G29"/>
    <mergeCell ref="H28:L28"/>
    <mergeCell ref="M28:N29"/>
    <mergeCell ref="O28:S29"/>
    <mergeCell ref="H29:L29"/>
    <mergeCell ref="F30:G31"/>
    <mergeCell ref="H30:L30"/>
    <mergeCell ref="M30:N31"/>
    <mergeCell ref="O30:S31"/>
    <mergeCell ref="H31:L31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3CAA30-EDE9-4546-8911-92C666A8CC19}">
          <x14:formula1>
            <xm:f>DATA!$C$5:$C$8</xm:f>
          </x14:formula1>
          <xm:sqref>L11:M12</xm:sqref>
        </x14:dataValidation>
        <x14:dataValidation type="list" allowBlank="1" showInputMessage="1" showErrorMessage="1" xr:uid="{24134D0F-FAEC-43AB-B579-3D10655A11D8}">
          <x14:formula1>
            <xm:f>DATA!$D$5:$D$8</xm:f>
          </x14:formula1>
          <xm:sqref>N11:O12</xm:sqref>
        </x14:dataValidation>
        <x14:dataValidation type="list" allowBlank="1" showInputMessage="1" showErrorMessage="1" xr:uid="{2606AC92-630A-4DF8-AA1F-5AF03ED3A11F}">
          <x14:formula1>
            <xm:f>DATA!$E$5:$E$8</xm:f>
          </x14:formula1>
          <xm:sqref>P11:Q12</xm:sqref>
        </x14:dataValidation>
        <x14:dataValidation type="list" allowBlank="1" showInputMessage="1" showErrorMessage="1" xr:uid="{3A5CEB58-DBBF-4618-BCF6-D96D9C3B6455}">
          <x14:formula1>
            <xm:f>DATA!$F$5:$F$8</xm:f>
          </x14:formula1>
          <xm:sqref>R11:S12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G8"/>
  <sheetViews>
    <sheetView showGridLines="0" workbookViewId="0">
      <selection activeCell="C5" sqref="C5:F8"/>
    </sheetView>
  </sheetViews>
  <sheetFormatPr baseColWidth="10" defaultColWidth="11.42578125" defaultRowHeight="15" x14ac:dyDescent="0.25"/>
  <sheetData>
    <row r="5" spans="3:7" ht="20.100000000000001" customHeight="1" x14ac:dyDescent="0.25">
      <c r="C5" s="9" t="s">
        <v>27</v>
      </c>
      <c r="D5" s="9" t="s">
        <v>28</v>
      </c>
      <c r="E5" s="9" t="s">
        <v>31</v>
      </c>
      <c r="F5" s="9" t="s">
        <v>32</v>
      </c>
      <c r="G5" s="8"/>
    </row>
    <row r="6" spans="3:7" ht="20.100000000000001" customHeight="1" x14ac:dyDescent="0.25">
      <c r="C6" s="9" t="s">
        <v>34</v>
      </c>
      <c r="D6" s="9" t="s">
        <v>35</v>
      </c>
      <c r="E6" s="9" t="s">
        <v>36</v>
      </c>
      <c r="F6" s="9" t="s">
        <v>37</v>
      </c>
      <c r="G6" s="8"/>
    </row>
    <row r="7" spans="3:7" ht="20.100000000000001" customHeight="1" x14ac:dyDescent="0.25">
      <c r="C7" s="9" t="s">
        <v>33</v>
      </c>
      <c r="D7" s="9" t="s">
        <v>33</v>
      </c>
      <c r="E7" s="9" t="s">
        <v>33</v>
      </c>
      <c r="F7" s="9" t="s">
        <v>33</v>
      </c>
    </row>
    <row r="8" spans="3:7" ht="20.100000000000001" customHeight="1" x14ac:dyDescent="0.25">
      <c r="C8" s="9" t="s">
        <v>33</v>
      </c>
      <c r="D8" s="9" t="s">
        <v>33</v>
      </c>
      <c r="E8" s="9" t="s">
        <v>33</v>
      </c>
      <c r="F8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2025-01-27T19:33:11Z</cp:lastPrinted>
  <dcterms:created xsi:type="dcterms:W3CDTF">2023-10-31T20:19:37Z</dcterms:created>
  <dcterms:modified xsi:type="dcterms:W3CDTF">2025-01-27T20:28:30Z</dcterms:modified>
  <dc:language>es-MX</dc:language>
</cp:coreProperties>
</file>