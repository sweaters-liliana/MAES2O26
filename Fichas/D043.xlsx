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ANDREA 2026\D043 BODY TIRO LARGO CON ARGOLLAS\"/>
    </mc:Choice>
  </mc:AlternateContent>
  <xr:revisionPtr revIDLastSave="0" documentId="13_ncr:1_{48C3447C-AEA5-4B15-A56E-F77099F31C2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1" l="1"/>
  <c r="J14" i="1"/>
  <c r="M14" i="1"/>
</calcChain>
</file>

<file path=xl/sharedStrings.xml><?xml version="1.0" encoding="utf-8"?>
<sst xmlns="http://schemas.openxmlformats.org/spreadsheetml/2006/main" count="39" uniqueCount="33">
  <si>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</si>
  <si>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</si>
  <si>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</si>
  <si>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</si>
  <si>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</si>
  <si>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</si>
  <si>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</si>
  <si>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</si>
  <si>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</si>
  <si>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</si>
  <si>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</si>
  <si>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</si>
  <si>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</si>
  <si>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</si>
  <si>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</si>
  <si>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</si>
  <si>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t>TOP2V</t>
  </si>
  <si>
    <t>NYLON</t>
  </si>
  <si>
    <t>#2</t>
  </si>
  <si>
    <t>#6</t>
  </si>
  <si>
    <t>LICRA YUKI</t>
  </si>
  <si>
    <t>20/70/68</t>
  </si>
  <si>
    <t>PESO +10%:</t>
  </si>
  <si>
    <t>MEDIANA</t>
  </si>
  <si>
    <r>
      <rPr>
        <b/>
        <sz val="11"/>
        <color theme="0"/>
        <rFont val="Consolas"/>
        <family val="3"/>
      </rPr>
      <t>G</t>
    </r>
    <r>
      <rPr>
        <b/>
        <sz val="10"/>
        <color theme="0"/>
        <rFont val="Consolas"/>
        <family val="3"/>
      </rPr>
      <t>.</t>
    </r>
    <r>
      <rPr>
        <b/>
        <sz val="14"/>
        <color theme="0"/>
        <rFont val="Consolas"/>
        <family val="3"/>
      </rPr>
      <t>HILO</t>
    </r>
  </si>
  <si>
    <t>D043B38M</t>
  </si>
  <si>
    <t>BODY</t>
  </si>
  <si>
    <t>D043P38M</t>
  </si>
  <si>
    <t>BODY TIRO LARGO CON ARGOLLAS</t>
  </si>
  <si>
    <t>ABDOMEN</t>
  </si>
  <si>
    <t>(LOS LIENZOS DEL PECHO LLEVAN 3 CM + LARGO)</t>
  </si>
  <si>
    <t>D043A38M</t>
  </si>
  <si>
    <t>PECHO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</si>
</sst>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7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0"/>
      <name val="Consolas"/>
      <family val="3"/>
    </font>
    <font>
      <b/>
      <sz val="14"/>
      <color theme="0"/>
      <name val="Consolas"/>
      <family val="3"/>
    </font>
    <font>
      <sz val="22"/>
      <color theme="0"/>
      <name val="Consolas"/>
      <family val="3"/>
    </font>
    <font>
      <b/>
      <sz val="20"/>
      <color theme="0"/>
      <name val="Consolas"/>
      <family val="3"/>
    </font>
    <font>
      <b/>
      <sz val="18"/>
      <color theme="0"/>
      <name val="Consolas"/>
      <family val="3"/>
    </font>
    <font>
      <b/>
      <sz val="11"/>
      <color theme="0"/>
      <name val="Consolas"/>
      <family val="3"/>
    </font>
    <font>
      <b/>
      <sz val="10"/>
      <color theme="0"/>
      <name val="Consolas"/>
      <family val="3"/>
    </font>
    <font>
      <b/>
      <sz val="18"/>
      <color rgb="FFFFFF00"/>
      <name val="Consolas"/>
      <family val="3"/>
    </font>
    <font>
      <sz val="26"/>
      <color rgb="FF000000"/>
      <name val="Consolas"/>
      <family val="3"/>
    </font>
    <font>
      <sz val="24"/>
      <name val="Consolas"/>
      <family val="3"/>
    </font>
    <font>
      <sz val="16"/>
      <color rgb="FF000000"/>
      <name val="Consolas"/>
      <family val="3"/>
    </font>
  </fonts>
  <fills count="1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8" tint="-0.249977111117893"/>
        <bgColor rgb="FFFFFFCC"/>
      </patternFill>
    </fill>
    <fill>
      <patternFill patternType="solid">
        <fgColor rgb="FF3F686D"/>
        <bgColor rgb="FFFFFFCC"/>
      </patternFill>
    </fill>
    <fill>
      <patternFill patternType="mediumGray">
        <fgColor theme="0"/>
        <bgColor rgb="FFC0D6DA"/>
      </patternFill>
    </fill>
    <fill>
      <patternFill patternType="mediumGray">
        <fgColor theme="0"/>
        <bgColor theme="8" tint="0.79998168889431442"/>
      </patternFill>
    </fill>
    <fill>
      <patternFill patternType="solid">
        <fgColor theme="1" tint="0.249977111117893"/>
        <bgColor rgb="FFFFFFCC"/>
      </patternFill>
    </fill>
    <fill>
      <patternFill patternType="mediumGray">
        <fgColor theme="0"/>
        <bgColor theme="0"/>
      </patternFill>
    </fill>
    <fill>
      <patternFill patternType="solid">
        <fgColor theme="9" tint="-0.499984740745262"/>
        <bgColor rgb="FFFFFFCC"/>
      </patternFill>
    </fill>
    <fill>
      <patternFill patternType="mediumGray">
        <fgColor theme="0"/>
        <bgColor theme="9" tint="0.79998168889431442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44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11" fillId="12" borderId="13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49" fontId="12" fillId="12" borderId="1" xfId="0" applyNumberFormat="1" applyFont="1" applyFill="1" applyBorder="1" applyAlignment="1">
      <alignment horizontal="center" vertical="center" wrapText="1"/>
    </xf>
    <xf numFmtId="49" fontId="12" fillId="12" borderId="2" xfId="0" applyNumberFormat="1" applyFont="1" applyFill="1" applyBorder="1" applyAlignment="1">
      <alignment horizontal="center" vertical="center" wrapText="1"/>
    </xf>
    <xf numFmtId="49" fontId="12" fillId="12" borderId="3" xfId="0" applyNumberFormat="1" applyFont="1" applyFill="1" applyBorder="1" applyAlignment="1">
      <alignment horizontal="center" vertical="center" wrapText="1"/>
    </xf>
    <xf numFmtId="49" fontId="12" fillId="12" borderId="4" xfId="0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49" fontId="12" fillId="10" borderId="1" xfId="0" applyNumberFormat="1" applyFont="1" applyFill="1" applyBorder="1" applyAlignment="1">
      <alignment horizontal="center" vertical="center" wrapText="1"/>
    </xf>
    <xf numFmtId="49" fontId="12" fillId="10" borderId="2" xfId="0" applyNumberFormat="1" applyFont="1" applyFill="1" applyBorder="1" applyAlignment="1">
      <alignment horizontal="center" vertical="center" wrapText="1"/>
    </xf>
    <xf numFmtId="49" fontId="12" fillId="10" borderId="3" xfId="0" applyNumberFormat="1" applyFont="1" applyFill="1" applyBorder="1" applyAlignment="1">
      <alignment horizontal="center" vertical="center" wrapText="1"/>
    </xf>
    <xf numFmtId="49" fontId="12" fillId="10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4" xfId="0" applyFont="1" applyFill="1" applyBorder="1" applyAlignment="1">
      <alignment horizontal="center" vertical="center" wrapText="1"/>
    </xf>
    <xf numFmtId="0" fontId="13" fillId="10" borderId="1" xfId="0" applyNumberFormat="1" applyFont="1" applyFill="1" applyBorder="1" applyAlignment="1">
      <alignment horizontal="center" vertical="center" wrapText="1"/>
    </xf>
    <xf numFmtId="0" fontId="13" fillId="10" borderId="3" xfId="0" applyNumberFormat="1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46" fontId="14" fillId="9" borderId="2" xfId="0" applyNumberFormat="1" applyFont="1" applyFill="1" applyBorder="1" applyAlignment="1">
      <alignment horizontal="center" vertical="center" wrapText="1"/>
    </xf>
    <xf numFmtId="46" fontId="14" fillId="9" borderId="4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45" fontId="13" fillId="9" borderId="5" xfId="0" applyNumberFormat="1" applyFont="1" applyFill="1" applyBorder="1" applyAlignment="1">
      <alignment horizontal="center" vertical="center" wrapText="1"/>
    </xf>
    <xf numFmtId="45" fontId="13" fillId="9" borderId="1" xfId="0" applyNumberFormat="1" applyFont="1" applyFill="1" applyBorder="1" applyAlignment="1">
      <alignment horizontal="center" vertical="center" wrapText="1"/>
    </xf>
    <xf numFmtId="45" fontId="13" fillId="9" borderId="6" xfId="0" applyNumberFormat="1" applyFont="1" applyFill="1" applyBorder="1" applyAlignment="1">
      <alignment horizontal="center" vertical="center" wrapText="1"/>
    </xf>
    <xf numFmtId="45" fontId="13" fillId="9" borderId="3" xfId="0" applyNumberFormat="1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5" xfId="0" applyFont="1" applyFill="1" applyBorder="1" applyAlignment="1">
      <alignment horizontal="right" vertical="center" wrapText="1"/>
    </xf>
    <xf numFmtId="46" fontId="14" fillId="10" borderId="2" xfId="0" applyNumberFormat="1" applyFont="1" applyFill="1" applyBorder="1" applyAlignment="1">
      <alignment horizontal="center" vertical="center" wrapText="1"/>
    </xf>
    <xf numFmtId="46" fontId="14" fillId="10" borderId="4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5" xfId="0" applyFont="1" applyFill="1" applyBorder="1" applyAlignment="1">
      <alignment horizontal="right" vertical="center"/>
    </xf>
    <xf numFmtId="9" fontId="23" fillId="11" borderId="5" xfId="0" applyNumberFormat="1" applyFont="1" applyFill="1" applyBorder="1" applyAlignment="1">
      <alignment horizontal="center" vertical="center" wrapText="1"/>
    </xf>
    <xf numFmtId="9" fontId="23" fillId="11" borderId="8" xfId="0" applyNumberFormat="1" applyFont="1" applyFill="1" applyBorder="1" applyAlignment="1">
      <alignment horizontal="center" vertical="center" wrapText="1"/>
    </xf>
    <xf numFmtId="9" fontId="23" fillId="11" borderId="6" xfId="0" applyNumberFormat="1" applyFont="1" applyFill="1" applyBorder="1" applyAlignment="1">
      <alignment horizontal="center" vertical="center" wrapText="1"/>
    </xf>
    <xf numFmtId="9" fontId="23" fillId="11" borderId="9" xfId="0" applyNumberFormat="1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164" fontId="23" fillId="11" borderId="5" xfId="0" applyNumberFormat="1" applyFont="1" applyFill="1" applyBorder="1" applyAlignment="1">
      <alignment horizontal="center" vertical="center" wrapText="1"/>
    </xf>
    <xf numFmtId="164" fontId="23" fillId="11" borderId="8" xfId="0" applyNumberFormat="1" applyFont="1" applyFill="1" applyBorder="1" applyAlignment="1">
      <alignment horizontal="center" vertical="center" wrapText="1"/>
    </xf>
    <xf numFmtId="164" fontId="23" fillId="11" borderId="6" xfId="0" applyNumberFormat="1" applyFont="1" applyFill="1" applyBorder="1" applyAlignment="1">
      <alignment horizontal="center" vertical="center" wrapText="1"/>
    </xf>
    <xf numFmtId="164" fontId="23" fillId="11" borderId="9" xfId="0" applyNumberFormat="1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 wrapText="1"/>
    </xf>
    <xf numFmtId="45" fontId="15" fillId="10" borderId="1" xfId="0" applyNumberFormat="1" applyFont="1" applyFill="1" applyBorder="1" applyAlignment="1">
      <alignment horizontal="center" vertical="center" wrapText="1"/>
    </xf>
    <xf numFmtId="45" fontId="15" fillId="10" borderId="3" xfId="0" applyNumberFormat="1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5" fillId="2" borderId="2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2" xfId="0" applyFont="1" applyFill="1" applyBorder="1" applyAlignment="1">
      <alignment horizontal="center" vertical="center" wrapText="1"/>
    </xf>
    <xf numFmtId="0" fontId="18" fillId="13" borderId="3" xfId="0" applyFont="1" applyFill="1" applyBorder="1" applyAlignment="1">
      <alignment horizontal="center" vertical="center" wrapText="1"/>
    </xf>
    <xf numFmtId="0" fontId="18" fillId="13" borderId="4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4" fillId="14" borderId="2" xfId="0" applyFont="1" applyFill="1" applyBorder="1" applyAlignment="1">
      <alignment horizontal="center" vertical="center" wrapText="1"/>
    </xf>
    <xf numFmtId="0" fontId="13" fillId="14" borderId="6" xfId="0" applyFont="1" applyFill="1" applyBorder="1" applyAlignment="1">
      <alignment horizontal="center" vertical="center" wrapText="1"/>
    </xf>
    <xf numFmtId="0" fontId="13" fillId="14" borderId="3" xfId="0" applyFont="1" applyFill="1" applyBorder="1" applyAlignment="1">
      <alignment horizontal="center" vertical="center" wrapText="1"/>
    </xf>
    <xf numFmtId="0" fontId="14" fillId="14" borderId="4" xfId="0" applyFont="1" applyFill="1" applyBorder="1" applyAlignment="1">
      <alignment horizontal="center" vertical="center" wrapText="1"/>
    </xf>
    <xf numFmtId="45" fontId="13" fillId="14" borderId="5" xfId="0" applyNumberFormat="1" applyFont="1" applyFill="1" applyBorder="1" applyAlignment="1">
      <alignment horizontal="center" vertical="center" wrapText="1"/>
    </xf>
    <xf numFmtId="45" fontId="13" fillId="14" borderId="1" xfId="0" applyNumberFormat="1" applyFont="1" applyFill="1" applyBorder="1" applyAlignment="1">
      <alignment horizontal="center" vertical="center" wrapText="1"/>
    </xf>
    <xf numFmtId="46" fontId="14" fillId="14" borderId="2" xfId="0" applyNumberFormat="1" applyFont="1" applyFill="1" applyBorder="1" applyAlignment="1">
      <alignment horizontal="center" vertical="center" wrapText="1"/>
    </xf>
    <xf numFmtId="45" fontId="13" fillId="14" borderId="6" xfId="0" applyNumberFormat="1" applyFont="1" applyFill="1" applyBorder="1" applyAlignment="1">
      <alignment horizontal="center" vertical="center" wrapText="1"/>
    </xf>
    <xf numFmtId="45" fontId="13" fillId="14" borderId="3" xfId="0" applyNumberFormat="1" applyFont="1" applyFill="1" applyBorder="1" applyAlignment="1">
      <alignment horizontal="center" vertical="center" wrapText="1"/>
    </xf>
    <xf numFmtId="46" fontId="14" fillId="14" borderId="4" xfId="0" applyNumberFormat="1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F686D"/>
      <color rgb="FFC0D6DA"/>
      <color rgb="FFFADBDA"/>
      <color rgb="FFA5C6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238125</xdr:rowOff>
    </xdr:from>
    <xdr:to>
      <xdr:col>3</xdr:col>
      <xdr:colOff>704850</xdr:colOff>
      <xdr:row>15</xdr:row>
      <xdr:rowOff>27751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CFB267F-A905-4F7C-BF9C-05FAE49B25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27381" y1="60476" x2="29524" y2="61852"/>
                      <a14:foregroundMark x1="27143" y1="60529" x2="29921" y2="61905"/>
                      <a14:foregroundMark x1="48095" y1="24921" x2="52540" y2="24762"/>
                      <a14:backgroundMark x1="32381" y1="67354" x2="33492" y2="70000"/>
                      <a14:backgroundMark x1="33254" y1="68201" x2="35794" y2="72751"/>
                      <a14:backgroundMark x1="37540" y1="73862" x2="30397" y2="67725"/>
                      <a14:backgroundMark x1="37540" y1="73016" x2="31270" y2="65926"/>
                      <a14:backgroundMark x1="37778" y1="73598" x2="41587" y2="81905"/>
                      <a14:backgroundMark x1="42063" y1="80952" x2="41190" y2="79153"/>
                      <a14:backgroundMark x1="40238" y1="76720" x2="40238" y2="76720"/>
                      <a14:backgroundMark x1="39048" y1="75450" x2="37778" y2="73122"/>
                      <a14:backgroundMark x1="40476" y1="77937" x2="39206" y2="76032"/>
                      <a14:backgroundMark x1="41032" y1="78201" x2="41032" y2="78783"/>
                      <a14:backgroundMark x1="41349" y1="79471" x2="40873" y2="78624"/>
                      <a14:backgroundMark x1="23889" y1="58413" x2="25159" y2="59259"/>
                      <a14:backgroundMark x1="22619" y1="57302" x2="20317" y2="55608"/>
                      <a14:backgroundMark x1="21905" y1="57302" x2="16032" y2="51905"/>
                      <a14:backgroundMark x1="23175" y1="36349" x2="21429" y2="39312"/>
                      <a14:backgroundMark x1="23571" y1="37143" x2="20714" y2="43016"/>
                      <a14:backgroundMark x1="20714" y1="43016" x2="19444" y2="44021"/>
                      <a14:backgroundMark x1="49444" y1="23175" x2="48889" y2="23175"/>
                      <a14:backgroundMark x1="49683" y1="20265" x2="49683" y2="19577"/>
                      <a14:backgroundMark x1="49444" y1="20476" x2="50397" y2="1809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875" t="13670" r="15333" b="13790"/>
        <a:stretch/>
      </xdr:blipFill>
      <xdr:spPr>
        <a:xfrm>
          <a:off x="0" y="685800"/>
          <a:ext cx="1504950" cy="2380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8"/>
  <sheetViews>
    <sheetView showGridLines="0" tabSelected="1" topLeftCell="B1" zoomScaleNormal="100" workbookViewId="0">
      <selection activeCell="J12" sqref="J12:L13"/>
    </sheetView>
  </sheetViews>
  <sheetFormatPr baseColWidth="10" defaultColWidth="14.42578125" defaultRowHeight="15" x14ac:dyDescent="0.25"/>
  <cols>
    <col min="1" max="1" width="0.42578125" hidden="1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  <col min="16" max="16" width="0.7109375" customWidth="1"/>
  </cols>
  <sheetData>
    <row r="1" spans="1:16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t="s">
        <v>0</v>
      </c>
    </row>
    <row r="2" spans="1:16" ht="15.95" customHeight="1" x14ac:dyDescent="0.25">
      <c r="B2" s="80" t="s">
        <v>1</v>
      </c>
      <c r="C2" s="81"/>
      <c r="D2" s="82"/>
      <c r="E2" s="88" t="s">
        <v>2</v>
      </c>
      <c r="F2" s="89"/>
      <c r="G2" s="89"/>
      <c r="H2" s="89"/>
      <c r="I2" s="89"/>
      <c r="J2" s="89"/>
      <c r="K2" s="89"/>
      <c r="L2" s="89"/>
      <c r="M2" s="89"/>
      <c r="N2" s="89"/>
      <c r="O2" s="90"/>
    </row>
    <row r="3" spans="1:16" ht="15.95" customHeight="1" thickBot="1" x14ac:dyDescent="0.3">
      <c r="B3" s="83"/>
      <c r="C3" s="84"/>
      <c r="D3" s="85"/>
      <c r="E3" s="91"/>
      <c r="F3" s="92"/>
      <c r="G3" s="92"/>
      <c r="H3" s="92"/>
      <c r="I3" s="92"/>
      <c r="J3" s="92"/>
      <c r="K3" s="92"/>
      <c r="L3" s="92"/>
      <c r="M3" s="92"/>
      <c r="N3" s="92"/>
      <c r="O3" s="93"/>
    </row>
    <row r="4" spans="1:16" ht="21" customHeight="1" x14ac:dyDescent="0.25">
      <c r="B4" s="2"/>
      <c r="C4" s="3"/>
      <c r="D4" s="6"/>
      <c r="E4" s="29" t="s">
        <v>28</v>
      </c>
      <c r="F4" s="30"/>
      <c r="G4" s="30"/>
      <c r="H4" s="30"/>
      <c r="I4" s="30"/>
      <c r="J4" s="30"/>
      <c r="K4" s="30"/>
      <c r="L4" s="30"/>
      <c r="M4" s="30"/>
      <c r="N4" s="30"/>
      <c r="O4" s="31"/>
    </row>
    <row r="5" spans="1:16" ht="19.5" customHeight="1" x14ac:dyDescent="0.25">
      <c r="B5" s="2"/>
      <c r="C5" s="3"/>
      <c r="D5" s="3"/>
      <c r="E5" s="32"/>
      <c r="F5" s="33"/>
      <c r="G5" s="33"/>
      <c r="H5" s="33"/>
      <c r="I5" s="33"/>
      <c r="J5" s="33"/>
      <c r="K5" s="33"/>
      <c r="L5" s="33"/>
      <c r="M5" s="33"/>
      <c r="N5" s="33"/>
      <c r="O5" s="34"/>
    </row>
    <row r="6" spans="1:16" ht="18.95" customHeight="1" x14ac:dyDescent="0.25">
      <c r="B6" s="2"/>
      <c r="C6" s="3"/>
      <c r="D6" s="3"/>
      <c r="E6" s="138" t="s">
        <v>30</v>
      </c>
      <c r="F6" s="139"/>
      <c r="G6" s="139"/>
      <c r="H6" s="139"/>
      <c r="I6" s="139"/>
      <c r="J6" s="139"/>
      <c r="K6" s="139"/>
      <c r="L6" s="139"/>
      <c r="M6" s="139"/>
      <c r="N6" s="139"/>
      <c r="O6" s="140"/>
    </row>
    <row r="7" spans="1:16" ht="18.95" customHeight="1" thickBot="1" x14ac:dyDescent="0.3">
      <c r="B7" s="2"/>
      <c r="C7" s="3"/>
      <c r="D7" s="3"/>
      <c r="E7" s="141"/>
      <c r="F7" s="142"/>
      <c r="G7" s="142"/>
      <c r="H7" s="142"/>
      <c r="I7" s="142"/>
      <c r="J7" s="142"/>
      <c r="K7" s="142"/>
      <c r="L7" s="142"/>
      <c r="M7" s="142"/>
      <c r="N7" s="142"/>
      <c r="O7" s="143"/>
    </row>
    <row r="8" spans="1:16" ht="15.95" customHeight="1" thickBot="1" x14ac:dyDescent="0.3">
      <c r="B8" s="2"/>
      <c r="C8" s="3"/>
      <c r="D8" s="3"/>
      <c r="E8" s="73" t="s">
        <v>4</v>
      </c>
      <c r="F8" s="74"/>
      <c r="G8" s="116" t="s">
        <v>23</v>
      </c>
      <c r="H8" s="117"/>
      <c r="I8" s="117"/>
      <c r="J8" s="117"/>
      <c r="K8" s="117"/>
      <c r="L8" s="117"/>
      <c r="M8" s="117"/>
      <c r="N8" s="117"/>
      <c r="O8" s="118"/>
    </row>
    <row r="9" spans="1:16" ht="15.95" customHeight="1" thickBot="1" x14ac:dyDescent="0.3">
      <c r="B9" s="2"/>
      <c r="C9" s="3"/>
      <c r="D9" s="3"/>
      <c r="E9" s="73"/>
      <c r="F9" s="74"/>
      <c r="G9" s="119"/>
      <c r="H9" s="120"/>
      <c r="I9" s="120"/>
      <c r="J9" s="120"/>
      <c r="K9" s="120"/>
      <c r="L9" s="120"/>
      <c r="M9" s="120"/>
      <c r="N9" s="120"/>
      <c r="O9" s="121"/>
    </row>
    <row r="10" spans="1:16" ht="15.95" customHeight="1" thickBot="1" x14ac:dyDescent="0.3">
      <c r="B10" s="2"/>
      <c r="C10" s="3"/>
      <c r="D10" s="3"/>
      <c r="E10" s="73" t="s">
        <v>3</v>
      </c>
      <c r="F10" s="74"/>
      <c r="G10" s="110" t="s">
        <v>26</v>
      </c>
      <c r="H10" s="110"/>
      <c r="I10" s="111"/>
      <c r="J10" s="110" t="s">
        <v>32</v>
      </c>
      <c r="K10" s="110"/>
      <c r="L10" s="111"/>
      <c r="M10" s="110" t="s">
        <v>29</v>
      </c>
      <c r="N10" s="110"/>
      <c r="O10" s="111"/>
    </row>
    <row r="11" spans="1:16" ht="15.95" customHeight="1" thickBot="1" x14ac:dyDescent="0.3">
      <c r="B11" s="2"/>
      <c r="C11" s="3"/>
      <c r="D11" s="3"/>
      <c r="E11" s="73"/>
      <c r="F11" s="74"/>
      <c r="G11" s="112"/>
      <c r="H11" s="112"/>
      <c r="I11" s="113"/>
      <c r="J11" s="112"/>
      <c r="K11" s="112"/>
      <c r="L11" s="113"/>
      <c r="M11" s="112"/>
      <c r="N11" s="112"/>
      <c r="O11" s="113"/>
    </row>
    <row r="12" spans="1:16" ht="15.95" customHeight="1" thickBot="1" x14ac:dyDescent="0.3">
      <c r="B12" s="2"/>
      <c r="C12" s="3"/>
      <c r="D12" s="3"/>
      <c r="E12" s="96" t="s">
        <v>5</v>
      </c>
      <c r="F12" s="97"/>
      <c r="G12" s="37" t="s">
        <v>25</v>
      </c>
      <c r="H12" s="37"/>
      <c r="I12" s="38"/>
      <c r="J12" s="41" t="s">
        <v>27</v>
      </c>
      <c r="K12" s="41"/>
      <c r="L12" s="42"/>
      <c r="M12" s="122" t="s">
        <v>31</v>
      </c>
      <c r="N12" s="122"/>
      <c r="O12" s="123"/>
    </row>
    <row r="13" spans="1:16" ht="15.95" customHeight="1" thickBot="1" x14ac:dyDescent="0.3">
      <c r="B13" s="2"/>
      <c r="C13" s="3"/>
      <c r="D13" s="3"/>
      <c r="E13" s="96"/>
      <c r="F13" s="97"/>
      <c r="G13" s="39"/>
      <c r="H13" s="39"/>
      <c r="I13" s="40"/>
      <c r="J13" s="43"/>
      <c r="K13" s="43"/>
      <c r="L13" s="44"/>
      <c r="M13" s="124"/>
      <c r="N13" s="124"/>
      <c r="O13" s="125"/>
    </row>
    <row r="14" spans="1:16" ht="15.95" customHeight="1" thickBot="1" x14ac:dyDescent="0.3">
      <c r="B14" s="2"/>
      <c r="C14" s="3"/>
      <c r="D14" s="3"/>
      <c r="E14" s="73" t="s">
        <v>22</v>
      </c>
      <c r="F14" s="74"/>
      <c r="G14" s="45">
        <f>110*110%</f>
        <v>121.00000000000001</v>
      </c>
      <c r="H14" s="45"/>
      <c r="I14" s="94" t="s">
        <v>6</v>
      </c>
      <c r="J14" s="47">
        <f>72*110%</f>
        <v>79.2</v>
      </c>
      <c r="K14" s="48"/>
      <c r="L14" s="35" t="s">
        <v>6</v>
      </c>
      <c r="M14" s="126">
        <f>58*110%</f>
        <v>63.800000000000004</v>
      </c>
      <c r="N14" s="127"/>
      <c r="O14" s="128" t="s">
        <v>6</v>
      </c>
    </row>
    <row r="15" spans="1:16" ht="15.95" customHeight="1" thickBot="1" x14ac:dyDescent="0.3">
      <c r="B15" s="2"/>
      <c r="C15" s="3"/>
      <c r="D15" s="3"/>
      <c r="E15" s="73"/>
      <c r="F15" s="74"/>
      <c r="G15" s="46"/>
      <c r="H15" s="46"/>
      <c r="I15" s="95"/>
      <c r="J15" s="49"/>
      <c r="K15" s="50"/>
      <c r="L15" s="36"/>
      <c r="M15" s="129"/>
      <c r="N15" s="130"/>
      <c r="O15" s="131"/>
    </row>
    <row r="16" spans="1:16" ht="15.95" customHeight="1" thickBot="1" x14ac:dyDescent="0.3">
      <c r="B16" s="2"/>
      <c r="C16" s="3"/>
      <c r="D16" s="3"/>
      <c r="E16" s="73" t="s">
        <v>7</v>
      </c>
      <c r="F16" s="74"/>
      <c r="G16" s="114">
        <v>2.1990740740740742E-3</v>
      </c>
      <c r="H16" s="114"/>
      <c r="I16" s="75" t="s">
        <v>8</v>
      </c>
      <c r="J16" s="69">
        <v>1.4814814814814814E-3</v>
      </c>
      <c r="K16" s="70"/>
      <c r="L16" s="58" t="s">
        <v>8</v>
      </c>
      <c r="M16" s="132">
        <v>1.3078703703703703E-3</v>
      </c>
      <c r="N16" s="133"/>
      <c r="O16" s="134" t="s">
        <v>8</v>
      </c>
    </row>
    <row r="17" spans="2:15" ht="15.95" customHeight="1" thickBot="1" x14ac:dyDescent="0.3">
      <c r="B17" s="4"/>
      <c r="C17" s="5"/>
      <c r="D17" s="5"/>
      <c r="E17" s="73"/>
      <c r="F17" s="74"/>
      <c r="G17" s="115"/>
      <c r="H17" s="115"/>
      <c r="I17" s="76"/>
      <c r="J17" s="71"/>
      <c r="K17" s="72"/>
      <c r="L17" s="59"/>
      <c r="M17" s="135"/>
      <c r="N17" s="136"/>
      <c r="O17" s="137"/>
    </row>
    <row r="18" spans="2:15" ht="15.95" customHeight="1" x14ac:dyDescent="0.25">
      <c r="B18" s="60" t="s">
        <v>13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</row>
    <row r="19" spans="2:15" ht="15.95" customHeight="1" thickBot="1" x14ac:dyDescent="0.3"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</row>
    <row r="20" spans="2:15" ht="32.25" customHeight="1" thickBot="1" x14ac:dyDescent="0.3">
      <c r="B20" s="86" t="s">
        <v>15</v>
      </c>
      <c r="C20" s="87"/>
      <c r="D20" s="87"/>
      <c r="E20" s="87"/>
      <c r="F20" s="87"/>
      <c r="G20" s="66" t="s">
        <v>16</v>
      </c>
      <c r="H20" s="67"/>
      <c r="I20" s="68"/>
      <c r="J20" s="77"/>
      <c r="K20" s="78"/>
      <c r="L20" s="79"/>
      <c r="M20" s="77"/>
      <c r="N20" s="78"/>
      <c r="O20" s="79"/>
    </row>
    <row r="21" spans="2:15" ht="30" customHeight="1" thickBot="1" x14ac:dyDescent="0.3">
      <c r="B21" s="53" t="s">
        <v>11</v>
      </c>
      <c r="C21" s="54"/>
      <c r="D21" s="55" t="s">
        <v>9</v>
      </c>
      <c r="E21" s="55"/>
      <c r="F21" s="55"/>
      <c r="G21" s="7" t="s">
        <v>24</v>
      </c>
      <c r="H21" s="56" t="s">
        <v>14</v>
      </c>
      <c r="I21" s="57"/>
      <c r="J21" s="8"/>
      <c r="K21" s="51"/>
      <c r="L21" s="52"/>
      <c r="M21" s="8"/>
      <c r="N21" s="51"/>
      <c r="O21" s="52"/>
    </row>
    <row r="22" spans="2:15" ht="15.95" customHeight="1" x14ac:dyDescent="0.25">
      <c r="B22" s="98">
        <v>0.53</v>
      </c>
      <c r="C22" s="99"/>
      <c r="D22" s="19" t="s">
        <v>20</v>
      </c>
      <c r="E22" s="20"/>
      <c r="F22" s="20"/>
      <c r="G22" s="21" t="s">
        <v>18</v>
      </c>
      <c r="H22" s="102" t="s">
        <v>10</v>
      </c>
      <c r="I22" s="103"/>
      <c r="J22" s="9"/>
      <c r="K22" s="11"/>
      <c r="L22" s="12"/>
      <c r="M22" s="9"/>
      <c r="N22" s="11"/>
      <c r="O22" s="12"/>
    </row>
    <row r="23" spans="2:15" ht="15.95" customHeight="1" thickBot="1" x14ac:dyDescent="0.3">
      <c r="B23" s="100"/>
      <c r="C23" s="101"/>
      <c r="D23" s="27" t="s">
        <v>21</v>
      </c>
      <c r="E23" s="28"/>
      <c r="F23" s="28"/>
      <c r="G23" s="22"/>
      <c r="H23" s="104"/>
      <c r="I23" s="105"/>
      <c r="J23" s="10"/>
      <c r="K23" s="13"/>
      <c r="L23" s="14"/>
      <c r="M23" s="10"/>
      <c r="N23" s="13"/>
      <c r="O23" s="14"/>
    </row>
    <row r="24" spans="2:15" ht="15.95" customHeight="1" x14ac:dyDescent="0.25">
      <c r="B24" s="98">
        <v>0.47</v>
      </c>
      <c r="C24" s="99"/>
      <c r="D24" s="19" t="s">
        <v>17</v>
      </c>
      <c r="E24" s="20"/>
      <c r="F24" s="20"/>
      <c r="G24" s="21" t="s">
        <v>19</v>
      </c>
      <c r="H24" s="102" t="s">
        <v>10</v>
      </c>
      <c r="I24" s="103"/>
      <c r="J24" s="9"/>
      <c r="K24" s="15"/>
      <c r="L24" s="16"/>
      <c r="M24" s="9"/>
      <c r="N24" s="15"/>
      <c r="O24" s="16"/>
    </row>
    <row r="25" spans="2:15" ht="15.95" customHeight="1" thickBot="1" x14ac:dyDescent="0.3">
      <c r="B25" s="100"/>
      <c r="C25" s="101"/>
      <c r="D25" s="27" t="s">
        <v>12</v>
      </c>
      <c r="E25" s="28"/>
      <c r="F25" s="28"/>
      <c r="G25" s="22"/>
      <c r="H25" s="104"/>
      <c r="I25" s="105"/>
      <c r="J25" s="10"/>
      <c r="K25" s="17"/>
      <c r="L25" s="18"/>
      <c r="M25" s="10"/>
      <c r="N25" s="17"/>
      <c r="O25" s="18"/>
    </row>
    <row r="26" spans="2:15" ht="15.95" customHeight="1" x14ac:dyDescent="0.25">
      <c r="B26" s="106"/>
      <c r="C26" s="107"/>
      <c r="D26" s="19"/>
      <c r="E26" s="20"/>
      <c r="F26" s="20"/>
      <c r="G26" s="21"/>
      <c r="H26" s="23"/>
      <c r="I26" s="24"/>
      <c r="J26" s="9"/>
      <c r="K26" s="15"/>
      <c r="L26" s="16"/>
      <c r="M26" s="9"/>
      <c r="N26" s="15"/>
      <c r="O26" s="16"/>
    </row>
    <row r="27" spans="2:15" ht="15.95" customHeight="1" thickBot="1" x14ac:dyDescent="0.3">
      <c r="B27" s="108"/>
      <c r="C27" s="109"/>
      <c r="D27" s="27"/>
      <c r="E27" s="28"/>
      <c r="F27" s="28"/>
      <c r="G27" s="22"/>
      <c r="H27" s="25"/>
      <c r="I27" s="26"/>
      <c r="J27" s="10"/>
      <c r="K27" s="17"/>
      <c r="L27" s="18"/>
      <c r="M27" s="10"/>
      <c r="N27" s="17"/>
      <c r="O27" s="18"/>
    </row>
    <row r="28" spans="2:15" ht="15.75" customHeight="1" x14ac:dyDescent="0.25">
      <c r="B28" s="106"/>
      <c r="C28" s="107"/>
      <c r="D28" s="19"/>
      <c r="E28" s="20"/>
      <c r="F28" s="20"/>
      <c r="G28" s="21"/>
      <c r="H28" s="102"/>
      <c r="I28" s="103"/>
      <c r="J28" s="9"/>
      <c r="K28" s="11"/>
      <c r="L28" s="12"/>
      <c r="M28" s="9"/>
      <c r="N28" s="11"/>
      <c r="O28" s="12"/>
    </row>
    <row r="29" spans="2:15" ht="15.75" customHeight="1" thickBot="1" x14ac:dyDescent="0.3">
      <c r="B29" s="108"/>
      <c r="C29" s="109"/>
      <c r="D29" s="27"/>
      <c r="E29" s="28"/>
      <c r="F29" s="28"/>
      <c r="G29" s="22"/>
      <c r="H29" s="104"/>
      <c r="I29" s="105"/>
      <c r="J29" s="10"/>
      <c r="K29" s="13"/>
      <c r="L29" s="14"/>
      <c r="M29" s="10"/>
      <c r="N29" s="13"/>
      <c r="O29" s="14"/>
    </row>
    <row r="30" spans="2:15" ht="15.75" customHeight="1" x14ac:dyDescent="0.25">
      <c r="B30" s="106"/>
      <c r="C30" s="107"/>
      <c r="D30" s="19"/>
      <c r="E30" s="20"/>
      <c r="F30" s="20"/>
      <c r="G30" s="21"/>
      <c r="H30" s="102"/>
      <c r="I30" s="103"/>
      <c r="J30" s="9"/>
      <c r="K30" s="11"/>
      <c r="L30" s="12"/>
      <c r="M30" s="9"/>
      <c r="N30" s="11"/>
      <c r="O30" s="12"/>
    </row>
    <row r="31" spans="2:15" ht="15.75" customHeight="1" thickBot="1" x14ac:dyDescent="0.3">
      <c r="B31" s="108"/>
      <c r="C31" s="109"/>
      <c r="D31" s="27"/>
      <c r="E31" s="28"/>
      <c r="F31" s="28"/>
      <c r="G31" s="22"/>
      <c r="H31" s="104"/>
      <c r="I31" s="105"/>
      <c r="J31" s="10"/>
      <c r="K31" s="13"/>
      <c r="L31" s="14"/>
      <c r="M31" s="10"/>
      <c r="N31" s="13"/>
      <c r="O31" s="14"/>
    </row>
    <row r="32" spans="2:1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</sheetData>
  <mergeCells count="83">
    <mergeCell ref="D30:F30"/>
    <mergeCell ref="D31:F31"/>
    <mergeCell ref="K30:L31"/>
    <mergeCell ref="J10:L11"/>
    <mergeCell ref="M10:O11"/>
    <mergeCell ref="G10:I11"/>
    <mergeCell ref="G30:G31"/>
    <mergeCell ref="H30:I31"/>
    <mergeCell ref="H28:I29"/>
    <mergeCell ref="J28:J29"/>
    <mergeCell ref="N22:O23"/>
    <mergeCell ref="G16:H17"/>
    <mergeCell ref="K24:L25"/>
    <mergeCell ref="M24:M25"/>
    <mergeCell ref="N24:O25"/>
    <mergeCell ref="K26:L27"/>
    <mergeCell ref="M30:M31"/>
    <mergeCell ref="N30:O31"/>
    <mergeCell ref="B24:C25"/>
    <mergeCell ref="J30:J31"/>
    <mergeCell ref="B22:C23"/>
    <mergeCell ref="D22:F22"/>
    <mergeCell ref="D24:F24"/>
    <mergeCell ref="G24:G25"/>
    <mergeCell ref="H24:I25"/>
    <mergeCell ref="D25:F25"/>
    <mergeCell ref="J24:J25"/>
    <mergeCell ref="J26:J27"/>
    <mergeCell ref="B30:C31"/>
    <mergeCell ref="B26:C27"/>
    <mergeCell ref="B28:C29"/>
    <mergeCell ref="H22:I23"/>
    <mergeCell ref="D23:F23"/>
    <mergeCell ref="K22:L23"/>
    <mergeCell ref="M22:M23"/>
    <mergeCell ref="G22:G23"/>
    <mergeCell ref="J22:J23"/>
    <mergeCell ref="B2:D3"/>
    <mergeCell ref="B20:F20"/>
    <mergeCell ref="J20:L20"/>
    <mergeCell ref="E2:O3"/>
    <mergeCell ref="I14:I15"/>
    <mergeCell ref="E8:F9"/>
    <mergeCell ref="E10:F11"/>
    <mergeCell ref="M16:N17"/>
    <mergeCell ref="E12:F13"/>
    <mergeCell ref="E14:F15"/>
    <mergeCell ref="O16:O17"/>
    <mergeCell ref="L16:L17"/>
    <mergeCell ref="B18:O19"/>
    <mergeCell ref="G20:I20"/>
    <mergeCell ref="J16:K17"/>
    <mergeCell ref="E16:F17"/>
    <mergeCell ref="I16:I17"/>
    <mergeCell ref="M20:O20"/>
    <mergeCell ref="N21:O21"/>
    <mergeCell ref="B21:C21"/>
    <mergeCell ref="D21:F21"/>
    <mergeCell ref="H21:I21"/>
    <mergeCell ref="K21:L21"/>
    <mergeCell ref="O14:O15"/>
    <mergeCell ref="L14:L15"/>
    <mergeCell ref="G12:I13"/>
    <mergeCell ref="J12:L13"/>
    <mergeCell ref="G14:H15"/>
    <mergeCell ref="J14:K15"/>
    <mergeCell ref="M14:N15"/>
    <mergeCell ref="M12:O13"/>
    <mergeCell ref="G8:O9"/>
    <mergeCell ref="E4:O5"/>
    <mergeCell ref="E6:O7"/>
    <mergeCell ref="M28:M29"/>
    <mergeCell ref="N28:O29"/>
    <mergeCell ref="M26:M27"/>
    <mergeCell ref="N26:O27"/>
    <mergeCell ref="D26:F26"/>
    <mergeCell ref="G26:G27"/>
    <mergeCell ref="H26:I27"/>
    <mergeCell ref="D27:F27"/>
    <mergeCell ref="D29:F29"/>
    <mergeCell ref="K28:L29"/>
    <mergeCell ref="D28:F28"/>
    <mergeCell ref="G28:G29"/>
  </mergeCells>
  <phoneticPr fontId="7" type="noConversion"/>
  <printOptions horizontalCentered="1"/>
  <pageMargins left="0.12" right="0.12" top="0.17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2025-07-21T22:30:41Z</cp:lastPrinted>
  <dcterms:created xsi:type="dcterms:W3CDTF">2023-10-31T20:19:37Z</dcterms:created>
  <dcterms:modified xsi:type="dcterms:W3CDTF">2025-07-21T22:30:58Z</dcterms:modified>
  <dc:language>es-MX</dc:language>
</cp:coreProperties>
</file>