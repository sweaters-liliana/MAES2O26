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INTIMIDEA\N003 TOP CANALÉ CON CUELLO EN V, TIRANTES ELASTICOS CON AJUSTADORES, CON ENCAJE EN CONTRASTE Y TOP INTERNO\"/>
    </mc:Choice>
  </mc:AlternateContent>
  <xr:revisionPtr revIDLastSave="0" documentId="13_ncr:1_{0D785963-27A0-4CDC-9A15-2BDD70359AE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  <sheet name="PRODUCCION" sheetId="3" r:id="rId3"/>
    <sheet name="PROCESO PRODUCCION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8" i="2" l="1"/>
  <c r="J18" i="2"/>
  <c r="K17" i="2"/>
  <c r="J17" i="2"/>
  <c r="K16" i="2"/>
  <c r="J16" i="2"/>
  <c r="K15" i="2"/>
  <c r="K19" i="2" s="1"/>
  <c r="J15" i="2"/>
  <c r="J19" i="2" s="1"/>
  <c r="E8" i="2"/>
  <c r="Z47" i="1"/>
  <c r="W47" i="1"/>
  <c r="J47" i="1"/>
  <c r="G47" i="1"/>
  <c r="G14" i="1"/>
  <c r="J14" i="1"/>
  <c r="Z14" i="1"/>
  <c r="W14" i="1"/>
</calcChain>
</file>

<file path=xl/sharedStrings.xml><?xml version="1.0" encoding="utf-8"?>
<sst xmlns="http://schemas.openxmlformats.org/spreadsheetml/2006/main" count="294" uniqueCount="116">
  <si>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</si>
  <si>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</si>
  <si>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</si>
  <si>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</si>
  <si>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</si>
  <si>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</si>
  <si>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</si>
  <si>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</si>
  <si>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</si>
  <si>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</si>
  <si>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</si>
  <si>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</si>
  <si>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</si>
  <si>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</si>
  <si>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</si>
  <si>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</si>
  <si>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</si>
  <si>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</si>
  <si>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PESO +10%:</t>
  </si>
  <si>
    <t>TOP CANALÉ CON CUELLO EN V, TIRANTES ELASTICOS CON AJUSTADORES, CON ENCAJE EN CONTRASTE Y TOP INTERNO</t>
  </si>
  <si>
    <t xml:space="preserve">TOP </t>
  </si>
  <si>
    <t>FORRO</t>
  </si>
  <si>
    <t>LICRA MIAMI</t>
  </si>
  <si>
    <t>20/40/24</t>
  </si>
  <si>
    <t>LICRA DESNUDA</t>
  </si>
  <si>
    <t>2 Y 6</t>
  </si>
  <si>
    <t>NYLON</t>
  </si>
  <si>
    <t>70/68</t>
  </si>
  <si>
    <t>CIXING</t>
  </si>
  <si>
    <t>TOP2V</t>
  </si>
  <si>
    <t>GRANDE</t>
  </si>
  <si>
    <t>EXTRA</t>
  </si>
  <si>
    <t>TOP2</t>
  </si>
  <si>
    <t>CHICA</t>
  </si>
  <si>
    <r>
      <t>N003F</t>
    </r>
    <r>
      <rPr>
        <b/>
        <u/>
        <sz val="24"/>
        <rFont val="Consolas"/>
        <family val="3"/>
      </rPr>
      <t>31</t>
    </r>
    <r>
      <rPr>
        <sz val="22"/>
        <rFont val="Consolas"/>
        <family val="3"/>
      </rPr>
      <t>M</t>
    </r>
  </si>
  <si>
    <r>
      <t>N003T</t>
    </r>
    <r>
      <rPr>
        <b/>
        <u/>
        <sz val="24"/>
        <rFont val="Consolas"/>
        <family val="3"/>
      </rPr>
      <t>31</t>
    </r>
    <r>
      <rPr>
        <sz val="22"/>
        <rFont val="Consolas"/>
        <family val="3"/>
      </rPr>
      <t>M</t>
    </r>
  </si>
  <si>
    <r>
      <t>N003F</t>
    </r>
    <r>
      <rPr>
        <b/>
        <u/>
        <sz val="24"/>
        <rFont val="Consolas"/>
        <family val="3"/>
      </rPr>
      <t>08</t>
    </r>
    <r>
      <rPr>
        <sz val="22"/>
        <rFont val="Consolas"/>
        <family val="3"/>
      </rPr>
      <t>C</t>
    </r>
  </si>
  <si>
    <r>
      <t>N003T</t>
    </r>
    <r>
      <rPr>
        <b/>
        <u/>
        <sz val="24"/>
        <rFont val="Consolas"/>
        <family val="3"/>
      </rPr>
      <t>08</t>
    </r>
    <r>
      <rPr>
        <sz val="22"/>
        <rFont val="Consolas"/>
        <family val="3"/>
      </rPr>
      <t>C</t>
    </r>
  </si>
  <si>
    <r>
      <t>N003T</t>
    </r>
    <r>
      <rPr>
        <b/>
        <u/>
        <sz val="24"/>
        <rFont val="Consolas"/>
        <family val="3"/>
      </rPr>
      <t>38</t>
    </r>
    <r>
      <rPr>
        <sz val="22"/>
        <rFont val="Consolas"/>
        <family val="3"/>
      </rPr>
      <t>G</t>
    </r>
  </si>
  <si>
    <r>
      <t>N003F</t>
    </r>
    <r>
      <rPr>
        <b/>
        <u/>
        <sz val="24"/>
        <rFont val="Consolas"/>
        <family val="3"/>
      </rPr>
      <t>38</t>
    </r>
    <r>
      <rPr>
        <sz val="22"/>
        <rFont val="Consolas"/>
        <family val="3"/>
      </rPr>
      <t>G</t>
    </r>
  </si>
  <si>
    <r>
      <t>N003F</t>
    </r>
    <r>
      <rPr>
        <b/>
        <u/>
        <sz val="24"/>
        <rFont val="Consolas"/>
        <family val="3"/>
      </rPr>
      <t>39</t>
    </r>
    <r>
      <rPr>
        <sz val="22"/>
        <rFont val="Consolas"/>
        <family val="3"/>
      </rPr>
      <t>X</t>
    </r>
  </si>
  <si>
    <r>
      <t>N003T</t>
    </r>
    <r>
      <rPr>
        <b/>
        <u/>
        <sz val="24"/>
        <rFont val="Consolas"/>
        <family val="3"/>
      </rPr>
      <t>39</t>
    </r>
    <r>
      <rPr>
        <sz val="22"/>
        <rFont val="Consolas"/>
        <family val="3"/>
      </rPr>
      <t>X</t>
    </r>
  </si>
  <si>
    <t xml:space="preserve">      FICHA TECNICA</t>
  </si>
  <si>
    <t>DESARROLLO:</t>
  </si>
  <si>
    <t>INTIMIDEA</t>
  </si>
  <si>
    <t>MODELO:</t>
  </si>
  <si>
    <t>N003</t>
  </si>
  <si>
    <t>TOP DOBLE ENCAJE</t>
  </si>
  <si>
    <t>TERMOFIJAR :</t>
  </si>
  <si>
    <t xml:space="preserve">  CUERPO  Y   FORRO</t>
  </si>
  <si>
    <t>RECTA:</t>
  </si>
  <si>
    <t>FIJA CUERPO Y FORRO</t>
  </si>
  <si>
    <t>AREA CORTE:</t>
  </si>
  <si>
    <t>CORTA EL PERIMETRO CUERPO</t>
  </si>
  <si>
    <t>COLLARETA:</t>
  </si>
  <si>
    <t xml:space="preserve">PEGA ENCAJE </t>
  </si>
  <si>
    <t>EMPAREJA TIRANTES</t>
  </si>
  <si>
    <t>COLOCA CEROS Y OCHOS</t>
  </si>
  <si>
    <t>3 REMATES ENCAJE</t>
  </si>
  <si>
    <t>10 REMATES EN TIRANTES</t>
  </si>
  <si>
    <t>AREA DE HABILITACION:</t>
  </si>
  <si>
    <t>DESHEBRA</t>
  </si>
  <si>
    <t>LICRA:</t>
  </si>
  <si>
    <t>MIAMI   20/40/24</t>
  </si>
  <si>
    <t>NYLON:</t>
  </si>
  <si>
    <t>MAQUINA</t>
  </si>
  <si>
    <t>PESO</t>
  </si>
  <si>
    <t>TIEMPO</t>
  </si>
  <si>
    <t>TALLA</t>
  </si>
  <si>
    <t>CH</t>
  </si>
  <si>
    <t>M</t>
  </si>
  <si>
    <t>G</t>
  </si>
  <si>
    <t>EX</t>
  </si>
  <si>
    <t>31 CIXING</t>
  </si>
  <si>
    <t>8 TOP</t>
  </si>
  <si>
    <t>38 TOP 2V</t>
  </si>
  <si>
    <t>39 TOP 2V</t>
  </si>
  <si>
    <t>NOTA:</t>
  </si>
  <si>
    <t>INTIMIDEA ENVIA:</t>
  </si>
  <si>
    <t>ENCAJE</t>
  </si>
  <si>
    <t>TIRANTE</t>
  </si>
  <si>
    <t>CEROS Y OCHOS</t>
  </si>
  <si>
    <t xml:space="preserve">           CUERPO</t>
  </si>
  <si>
    <t xml:space="preserve">       FORRO</t>
  </si>
  <si>
    <t>TIEMPO PARA TEJER:</t>
  </si>
  <si>
    <t>X HORA</t>
  </si>
  <si>
    <t>DIAS/TEJER</t>
  </si>
  <si>
    <t xml:space="preserve">FECHA DE ENTREGA  OC:     </t>
  </si>
  <si>
    <t>15 FEBRERRO 2026</t>
  </si>
  <si>
    <t xml:space="preserve">X TURNO 11 Hrs </t>
  </si>
  <si>
    <t>Maquinas</t>
  </si>
  <si>
    <t xml:space="preserve">AREA HABILITACION: </t>
  </si>
  <si>
    <t xml:space="preserve">OC
</t>
  </si>
  <si>
    <t>TOTALES</t>
  </si>
  <si>
    <t>PROMEDIO</t>
  </si>
  <si>
    <t>FICHA PRODUCCION</t>
  </si>
  <si>
    <t>PROCESOS</t>
  </si>
  <si>
    <t>FIJA CUERPO  Y FORRO</t>
  </si>
  <si>
    <t>EMPAQUE:</t>
  </si>
  <si>
    <t>CUERPO Y FORRO</t>
  </si>
  <si>
    <t>3 REMATES EN ENCAJE</t>
  </si>
  <si>
    <t>CORTA EL PERIMETRO DEL CUERPO</t>
  </si>
  <si>
    <t>PEGA ENCAJE</t>
  </si>
  <si>
    <t>KTF</t>
  </si>
  <si>
    <t>PROCESOS EN PRODUCCION  TOP N003</t>
  </si>
  <si>
    <t>AREA DE TEÑIDO</t>
  </si>
  <si>
    <t>SE TIÑE CUERPO Y FORRO</t>
  </si>
  <si>
    <t>AREA DE  TERMOFIJADO:</t>
  </si>
  <si>
    <t>SE TERMOFIJA EL CUERPO</t>
  </si>
  <si>
    <t>MEDIDA DEL MOLDE</t>
  </si>
  <si>
    <t>EG</t>
  </si>
  <si>
    <t>PROCESO  CONFECCION:</t>
  </si>
  <si>
    <t>CORTA TIRANTE:</t>
  </si>
  <si>
    <t>14"</t>
  </si>
  <si>
    <t>14 1/2"</t>
  </si>
  <si>
    <t>13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</si>
</sst>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0"/>
      <color rgb="FF000000"/>
      <name val="Consolas"/>
      <family val="3"/>
    </font>
    <font>
      <b/>
      <u/>
      <sz val="24"/>
      <name val="Consolas"/>
      <family val="3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11"/>
      <color theme="1"/>
      <name val="Calibri"/>
      <family val="2"/>
    </font>
    <font>
      <b/>
      <sz val="11"/>
      <color theme="1"/>
      <name val="Arial Black"/>
      <family val="2"/>
    </font>
    <font>
      <b/>
      <sz val="18"/>
      <color theme="1"/>
      <name val="Calibri"/>
      <family val="2"/>
    </font>
    <font>
      <b/>
      <sz val="9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</font>
    <font>
      <sz val="14"/>
      <color theme="0"/>
      <name val="Arial Black"/>
      <family val="2"/>
    </font>
    <font>
      <sz val="36"/>
      <color theme="0"/>
      <name val="Arial Black"/>
      <family val="2"/>
    </font>
    <font>
      <sz val="24"/>
      <color theme="1"/>
      <name val="Bernard MT Condensed"/>
      <family val="1"/>
    </font>
    <font>
      <sz val="20"/>
      <color theme="0"/>
      <name val="Bernard MT Condensed"/>
      <family val="1"/>
    </font>
    <font>
      <sz val="11"/>
      <color theme="1"/>
      <name val="Arial"/>
      <family val="2"/>
    </font>
    <font>
      <sz val="20"/>
      <color theme="1"/>
      <name val="Arial Black"/>
      <family val="2"/>
    </font>
    <font>
      <sz val="20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Aharoni"/>
      <charset val="177"/>
    </font>
    <font>
      <sz val="11"/>
      <color theme="1"/>
      <name val="Aharoni"/>
      <charset val="177"/>
    </font>
    <font>
      <b/>
      <sz val="12"/>
      <color theme="1"/>
      <name val="Arial Black"/>
      <family val="2"/>
    </font>
    <font>
      <b/>
      <sz val="9"/>
      <color theme="1"/>
      <name val="Aharoni"/>
      <charset val="177"/>
    </font>
    <font>
      <b/>
      <sz val="14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24"/>
      <color theme="0"/>
      <name val="Consolas"/>
      <family val="3"/>
    </font>
    <font>
      <b/>
      <sz val="16"/>
      <color theme="1"/>
      <name val="Arial Black"/>
      <family val="2"/>
    </font>
    <font>
      <b/>
      <sz val="18"/>
      <color theme="1"/>
      <name val="Aharoni"/>
      <charset val="177"/>
    </font>
    <font>
      <b/>
      <sz val="16"/>
      <color theme="1"/>
      <name val="Aharoni"/>
      <charset val="177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1"/>
        <bgColor rgb="FFFFFFCC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22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5" fillId="0" borderId="0" xfId="0" applyFont="1"/>
    <xf numFmtId="0" fontId="27" fillId="0" borderId="1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wrapText="1"/>
    </xf>
    <xf numFmtId="0" fontId="32" fillId="0" borderId="0" xfId="0" applyFont="1"/>
    <xf numFmtId="0" fontId="28" fillId="13" borderId="0" xfId="0" applyFont="1" applyFill="1" applyBorder="1" applyAlignment="1">
      <alignment horizontal="center"/>
    </xf>
    <xf numFmtId="0" fontId="28" fillId="0" borderId="0" xfId="0" applyFont="1" applyBorder="1"/>
    <xf numFmtId="0" fontId="31" fillId="12" borderId="0" xfId="0" applyFont="1" applyFill="1"/>
    <xf numFmtId="0" fontId="32" fillId="10" borderId="0" xfId="0" applyFont="1" applyFill="1"/>
    <xf numFmtId="0" fontId="33" fillId="14" borderId="19" xfId="0" applyFont="1" applyFill="1" applyBorder="1" applyAlignment="1">
      <alignment horizontal="center" vertical="top"/>
    </xf>
    <xf numFmtId="0" fontId="33" fillId="14" borderId="19" xfId="0" applyFont="1" applyFill="1" applyBorder="1" applyAlignment="1">
      <alignment horizontal="center"/>
    </xf>
    <xf numFmtId="0" fontId="33" fillId="14" borderId="20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0" borderId="0" xfId="0" applyFont="1"/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9" borderId="0" xfId="0" applyFont="1" applyFill="1" applyAlignment="1">
      <alignment horizontal="center"/>
    </xf>
    <xf numFmtId="0" fontId="35" fillId="11" borderId="0" xfId="0" applyFont="1" applyFill="1" applyAlignment="1">
      <alignment horizontal="center"/>
    </xf>
    <xf numFmtId="0" fontId="35" fillId="9" borderId="0" xfId="0" applyFont="1" applyFill="1" applyAlignment="1">
      <alignment horizontal="right"/>
    </xf>
    <xf numFmtId="0" fontId="35" fillId="11" borderId="0" xfId="0" applyFont="1" applyFill="1" applyAlignment="1">
      <alignment horizontal="right" wrapText="1"/>
    </xf>
    <xf numFmtId="0" fontId="32" fillId="14" borderId="18" xfId="0" applyFont="1" applyFill="1" applyBorder="1" applyAlignment="1">
      <alignment horizontal="right"/>
    </xf>
    <xf numFmtId="0" fontId="35" fillId="0" borderId="0" xfId="0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/>
    <xf numFmtId="0" fontId="35" fillId="0" borderId="17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30" fillId="0" borderId="0" xfId="0" applyFont="1" applyAlignment="1">
      <alignment horizontal="left" vertical="center"/>
    </xf>
    <xf numFmtId="0" fontId="34" fillId="13" borderId="0" xfId="0" applyFont="1" applyFill="1" applyAlignment="1">
      <alignment horizontal="center" vertical="center"/>
    </xf>
    <xf numFmtId="0" fontId="34" fillId="13" borderId="21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4" fillId="13" borderId="0" xfId="0" applyFont="1" applyFill="1" applyAlignment="1">
      <alignment horizontal="left" vertical="center"/>
    </xf>
    <xf numFmtId="0" fontId="27" fillId="13" borderId="0" xfId="0" applyFont="1" applyFill="1" applyBorder="1" applyAlignment="1">
      <alignment horizontal="center"/>
    </xf>
    <xf numFmtId="0" fontId="27" fillId="13" borderId="0" xfId="0" applyFont="1" applyFill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0" xfId="0" applyFont="1" applyBorder="1" applyAlignment="1">
      <alignment horizontal="right"/>
    </xf>
    <xf numFmtId="0" fontId="33" fillId="0" borderId="0" xfId="0" applyFont="1" applyAlignment="1">
      <alignment horizontal="center"/>
    </xf>
    <xf numFmtId="0" fontId="41" fillId="0" borderId="0" xfId="0" applyFont="1"/>
    <xf numFmtId="0" fontId="42" fillId="0" borderId="0" xfId="0" applyFont="1"/>
    <xf numFmtId="0" fontId="34" fillId="12" borderId="0" xfId="0" applyFont="1" applyFill="1"/>
    <xf numFmtId="0" fontId="26" fillId="9" borderId="0" xfId="0" applyFont="1" applyFill="1" applyAlignment="1">
      <alignment horizontal="center" vertical="center"/>
    </xf>
    <xf numFmtId="0" fontId="26" fillId="0" borderId="0" xfId="0" applyFont="1"/>
    <xf numFmtId="0" fontId="43" fillId="0" borderId="0" xfId="0" applyFont="1"/>
    <xf numFmtId="0" fontId="3" fillId="0" borderId="0" xfId="0" applyFont="1"/>
    <xf numFmtId="0" fontId="44" fillId="0" borderId="0" xfId="0" applyFont="1"/>
    <xf numFmtId="0" fontId="44" fillId="0" borderId="0" xfId="0" applyFont="1" applyAlignment="1">
      <alignment horizontal="right"/>
    </xf>
    <xf numFmtId="0" fontId="45" fillId="0" borderId="0" xfId="0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30" fillId="0" borderId="0" xfId="0" applyFont="1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44" fillId="0" borderId="0" xfId="0" applyFont="1" applyAlignment="1">
      <alignment horizontal="left"/>
    </xf>
    <xf numFmtId="0" fontId="53" fillId="0" borderId="0" xfId="0" applyFont="1"/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10" fontId="2" fillId="7" borderId="5" xfId="3" applyNumberFormat="1" applyFont="1" applyFill="1" applyBorder="1" applyAlignment="1">
      <alignment horizontal="center" vertical="center" wrapText="1"/>
    </xf>
    <xf numFmtId="10" fontId="2" fillId="7" borderId="8" xfId="3" applyNumberFormat="1" applyFont="1" applyFill="1" applyBorder="1" applyAlignment="1">
      <alignment horizontal="center" vertical="center" wrapText="1"/>
    </xf>
    <xf numFmtId="10" fontId="2" fillId="7" borderId="6" xfId="3" applyNumberFormat="1" applyFont="1" applyFill="1" applyBorder="1" applyAlignment="1">
      <alignment horizontal="center" vertical="center" wrapText="1"/>
    </xf>
    <xf numFmtId="10" fontId="2" fillId="7" borderId="9" xfId="3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1" fillId="17" borderId="10" xfId="0" applyFont="1" applyFill="1" applyBorder="1" applyAlignment="1">
      <alignment horizontal="center" vertical="center" wrapText="1"/>
    </xf>
    <xf numFmtId="0" fontId="51" fillId="17" borderId="0" xfId="0" applyFont="1" applyFill="1" applyAlignment="1">
      <alignment horizontal="center" vertical="center" wrapText="1"/>
    </xf>
    <xf numFmtId="0" fontId="51" fillId="17" borderId="6" xfId="0" applyFont="1" applyFill="1" applyBorder="1" applyAlignment="1">
      <alignment horizontal="center" vertical="center" wrapText="1"/>
    </xf>
    <xf numFmtId="0" fontId="51" fillId="17" borderId="3" xfId="0" applyFont="1" applyFill="1" applyBorder="1" applyAlignment="1">
      <alignment horizontal="center" vertical="center" wrapText="1"/>
    </xf>
    <xf numFmtId="0" fontId="52" fillId="17" borderId="5" xfId="0" applyFont="1" applyFill="1" applyBorder="1" applyAlignment="1">
      <alignment horizontal="center" vertical="center" wrapText="1"/>
    </xf>
    <xf numFmtId="0" fontId="52" fillId="17" borderId="1" xfId="0" applyFont="1" applyFill="1" applyBorder="1" applyAlignment="1">
      <alignment horizontal="center" vertical="center" wrapText="1"/>
    </xf>
    <xf numFmtId="0" fontId="52" fillId="17" borderId="2" xfId="0" applyFont="1" applyFill="1" applyBorder="1" applyAlignment="1">
      <alignment horizontal="center" vertical="center" wrapText="1"/>
    </xf>
    <xf numFmtId="0" fontId="52" fillId="17" borderId="6" xfId="0" applyFont="1" applyFill="1" applyBorder="1" applyAlignment="1">
      <alignment horizontal="center" vertical="center" wrapText="1"/>
    </xf>
    <xf numFmtId="0" fontId="52" fillId="17" borderId="3" xfId="0" applyFont="1" applyFill="1" applyBorder="1" applyAlignment="1">
      <alignment horizontal="center" vertical="center" wrapText="1"/>
    </xf>
    <xf numFmtId="0" fontId="52" fillId="17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164" fontId="17" fillId="2" borderId="6" xfId="0" applyNumberFormat="1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49" fontId="49" fillId="16" borderId="1" xfId="0" applyNumberFormat="1" applyFont="1" applyFill="1" applyBorder="1" applyAlignment="1">
      <alignment horizontal="center" vertical="center" wrapText="1"/>
    </xf>
    <xf numFmtId="49" fontId="49" fillId="16" borderId="2" xfId="0" applyNumberFormat="1" applyFont="1" applyFill="1" applyBorder="1" applyAlignment="1">
      <alignment horizontal="center" vertical="center" wrapText="1"/>
    </xf>
    <xf numFmtId="49" fontId="49" fillId="16" borderId="3" xfId="0" applyNumberFormat="1" applyFont="1" applyFill="1" applyBorder="1" applyAlignment="1">
      <alignment horizontal="center" vertical="center" wrapText="1"/>
    </xf>
    <xf numFmtId="49" fontId="49" fillId="16" borderId="4" xfId="0" applyNumberFormat="1" applyFont="1" applyFill="1" applyBorder="1" applyAlignment="1">
      <alignment horizontal="center" vertical="center" wrapText="1"/>
    </xf>
    <xf numFmtId="0" fontId="50" fillId="18" borderId="14" xfId="0" applyFont="1" applyFill="1" applyBorder="1" applyAlignment="1">
      <alignment horizontal="center" vertical="center" wrapText="1"/>
    </xf>
    <xf numFmtId="0" fontId="50" fillId="18" borderId="15" xfId="0" applyFont="1" applyFill="1" applyBorder="1" applyAlignment="1">
      <alignment horizontal="center" vertical="center" wrapText="1"/>
    </xf>
    <xf numFmtId="0" fontId="51" fillId="18" borderId="1" xfId="0" applyNumberFormat="1" applyFont="1" applyFill="1" applyBorder="1" applyAlignment="1">
      <alignment horizontal="center" vertical="center" wrapText="1"/>
    </xf>
    <xf numFmtId="49" fontId="51" fillId="18" borderId="2" xfId="0" applyNumberFormat="1" applyFont="1" applyFill="1" applyBorder="1" applyAlignment="1">
      <alignment horizontal="center" vertical="center" wrapText="1"/>
    </xf>
    <xf numFmtId="49" fontId="51" fillId="18" borderId="3" xfId="0" applyNumberFormat="1" applyFont="1" applyFill="1" applyBorder="1" applyAlignment="1">
      <alignment horizontal="center" vertical="center" wrapText="1"/>
    </xf>
    <xf numFmtId="49" fontId="51" fillId="18" borderId="4" xfId="0" applyNumberFormat="1" applyFont="1" applyFill="1" applyBorder="1" applyAlignment="1">
      <alignment horizontal="center" vertical="center" wrapText="1"/>
    </xf>
    <xf numFmtId="0" fontId="50" fillId="16" borderId="14" xfId="0" applyFont="1" applyFill="1" applyBorder="1" applyAlignment="1">
      <alignment horizontal="center" vertical="center" wrapText="1"/>
    </xf>
    <xf numFmtId="0" fontId="50" fillId="16" borderId="15" xfId="0" applyFont="1" applyFill="1" applyBorder="1" applyAlignment="1">
      <alignment horizontal="center" vertical="center" wrapText="1"/>
    </xf>
    <xf numFmtId="49" fontId="48" fillId="16" borderId="1" xfId="0" applyNumberFormat="1" applyFont="1" applyFill="1" applyBorder="1" applyAlignment="1">
      <alignment horizontal="center" vertical="center" wrapText="1"/>
    </xf>
    <xf numFmtId="49" fontId="48" fillId="16" borderId="2" xfId="0" applyNumberFormat="1" applyFont="1" applyFill="1" applyBorder="1" applyAlignment="1">
      <alignment horizontal="center" vertical="center" wrapText="1"/>
    </xf>
    <xf numFmtId="49" fontId="48" fillId="16" borderId="3" xfId="0" applyNumberFormat="1" applyFont="1" applyFill="1" applyBorder="1" applyAlignment="1">
      <alignment horizontal="center" vertical="center" wrapText="1"/>
    </xf>
    <xf numFmtId="49" fontId="48" fillId="16" borderId="4" xfId="0" applyNumberFormat="1" applyFont="1" applyFill="1" applyBorder="1" applyAlignment="1">
      <alignment horizontal="center" vertical="center" wrapText="1"/>
    </xf>
    <xf numFmtId="0" fontId="36" fillId="15" borderId="0" xfId="0" applyFont="1" applyFill="1" applyAlignment="1">
      <alignment horizontal="center"/>
    </xf>
    <xf numFmtId="0" fontId="28" fillId="13" borderId="0" xfId="0" applyFont="1" applyFill="1" applyAlignment="1">
      <alignment horizontal="center"/>
    </xf>
    <xf numFmtId="0" fontId="37" fillId="15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8" fillId="0" borderId="5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39" fillId="15" borderId="0" xfId="0" applyFont="1" applyFill="1" applyAlignment="1">
      <alignment horizontal="center"/>
    </xf>
    <xf numFmtId="0" fontId="39" fillId="15" borderId="3" xfId="0" applyFont="1" applyFill="1" applyBorder="1" applyAlignment="1">
      <alignment horizontal="center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54" fillId="0" borderId="0" xfId="0" applyFont="1"/>
    <xf numFmtId="0" fontId="55" fillId="0" borderId="0" xfId="0" applyFont="1"/>
    <xf numFmtId="0" fontId="55" fillId="0" borderId="0" xfId="0" applyFont="1" applyAlignment="1">
      <alignment horizontal="center"/>
    </xf>
    <xf numFmtId="12" fontId="55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60093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39780</xdr:colOff>
      <xdr:row>3</xdr:row>
      <xdr:rowOff>57150</xdr:rowOff>
    </xdr:from>
    <xdr:to>
      <xdr:col>3</xdr:col>
      <xdr:colOff>616324</xdr:colOff>
      <xdr:row>10</xdr:row>
      <xdr:rowOff>66636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8600B1-77D8-4DF5-898E-C584078D2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7" r="13812"/>
        <a:stretch/>
      </xdr:blipFill>
      <xdr:spPr>
        <a:xfrm>
          <a:off x="73398" y="505385"/>
          <a:ext cx="1372161" cy="1645545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8</xdr:row>
      <xdr:rowOff>190500</xdr:rowOff>
    </xdr:from>
    <xdr:to>
      <xdr:col>3</xdr:col>
      <xdr:colOff>587750</xdr:colOff>
      <xdr:row>17</xdr:row>
      <xdr:rowOff>28536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8E1916-E6B0-4AEF-A5B3-AFD5505CE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4" r="14026"/>
        <a:stretch/>
      </xdr:blipFill>
      <xdr:spPr>
        <a:xfrm>
          <a:off x="44824" y="1871382"/>
          <a:ext cx="1372161" cy="1653389"/>
        </a:xfrm>
        <a:prstGeom prst="rect">
          <a:avLst/>
        </a:prstGeom>
      </xdr:spPr>
    </xdr:pic>
    <xdr:clientData/>
  </xdr:twoCellAnchor>
  <xdr:oneCellAnchor>
    <xdr:from>
      <xdr:col>17</xdr:col>
      <xdr:colOff>28573</xdr:colOff>
      <xdr:row>3</xdr:row>
      <xdr:rowOff>38100</xdr:rowOff>
    </xdr:from>
    <xdr:ext cx="1571628" cy="1638261"/>
    <xdr:pic>
      <xdr:nvPicPr>
        <xdr:cNvPr id="5" name="Imagen 4">
          <a:extLst>
            <a:ext uri="{FF2B5EF4-FFF2-40B4-BE49-F238E27FC236}">
              <a16:creationId xmlns:a16="http://schemas.microsoft.com/office/drawing/2014/main" id="{EE10CF74-1734-49F1-9BE6-F25DE60B17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7" r="13812"/>
        <a:stretch/>
      </xdr:blipFill>
      <xdr:spPr>
        <a:xfrm>
          <a:off x="7915273" y="485775"/>
          <a:ext cx="1571628" cy="1638261"/>
        </a:xfrm>
        <a:prstGeom prst="rect">
          <a:avLst/>
        </a:prstGeom>
      </xdr:spPr>
    </xdr:pic>
    <xdr:clientData/>
  </xdr:oneCellAnchor>
  <xdr:oneCellAnchor>
    <xdr:from>
      <xdr:col>17</xdr:col>
      <xdr:colOff>28574</xdr:colOff>
      <xdr:row>8</xdr:row>
      <xdr:rowOff>161925</xdr:rowOff>
    </xdr:from>
    <xdr:ext cx="1571628" cy="1638261"/>
    <xdr:pic>
      <xdr:nvPicPr>
        <xdr:cNvPr id="6" name="Imagen 5">
          <a:extLst>
            <a:ext uri="{FF2B5EF4-FFF2-40B4-BE49-F238E27FC236}">
              <a16:creationId xmlns:a16="http://schemas.microsoft.com/office/drawing/2014/main" id="{5A460A3D-7859-4FE7-9ADA-6705F8C12B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4" r="14026"/>
        <a:stretch/>
      </xdr:blipFill>
      <xdr:spPr>
        <a:xfrm>
          <a:off x="7915274" y="1838325"/>
          <a:ext cx="1571628" cy="1638261"/>
        </a:xfrm>
        <a:prstGeom prst="rect">
          <a:avLst/>
        </a:prstGeom>
      </xdr:spPr>
    </xdr:pic>
    <xdr:clientData/>
  </xdr:oneCellAnchor>
  <xdr:oneCellAnchor>
    <xdr:from>
      <xdr:col>1</xdr:col>
      <xdr:colOff>9524</xdr:colOff>
      <xdr:row>36</xdr:row>
      <xdr:rowOff>57150</xdr:rowOff>
    </xdr:from>
    <xdr:ext cx="1590676" cy="1638261"/>
    <xdr:pic>
      <xdr:nvPicPr>
        <xdr:cNvPr id="11" name="Imagen 10">
          <a:extLst>
            <a:ext uri="{FF2B5EF4-FFF2-40B4-BE49-F238E27FC236}">
              <a16:creationId xmlns:a16="http://schemas.microsoft.com/office/drawing/2014/main" id="{F8968855-8767-4EF0-A65E-9F1E6D97B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7" r="13812"/>
        <a:stretch/>
      </xdr:blipFill>
      <xdr:spPr>
        <a:xfrm>
          <a:off x="15744824" y="504825"/>
          <a:ext cx="1590676" cy="163826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41</xdr:row>
      <xdr:rowOff>190500</xdr:rowOff>
    </xdr:from>
    <xdr:ext cx="1590676" cy="1638261"/>
    <xdr:pic>
      <xdr:nvPicPr>
        <xdr:cNvPr id="12" name="Imagen 11">
          <a:extLst>
            <a:ext uri="{FF2B5EF4-FFF2-40B4-BE49-F238E27FC236}">
              <a16:creationId xmlns:a16="http://schemas.microsoft.com/office/drawing/2014/main" id="{4116820D-D849-4A94-83B7-A855DC798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4" r="14026"/>
        <a:stretch/>
      </xdr:blipFill>
      <xdr:spPr>
        <a:xfrm>
          <a:off x="15716250" y="1866900"/>
          <a:ext cx="1590676" cy="1638261"/>
        </a:xfrm>
        <a:prstGeom prst="rect">
          <a:avLst/>
        </a:prstGeom>
      </xdr:spPr>
    </xdr:pic>
    <xdr:clientData/>
  </xdr:oneCellAnchor>
  <xdr:oneCellAnchor>
    <xdr:from>
      <xdr:col>17</xdr:col>
      <xdr:colOff>38100</xdr:colOff>
      <xdr:row>36</xdr:row>
      <xdr:rowOff>57150</xdr:rowOff>
    </xdr:from>
    <xdr:ext cx="1552574" cy="1638261"/>
    <xdr:pic>
      <xdr:nvPicPr>
        <xdr:cNvPr id="13" name="Imagen 12">
          <a:extLst>
            <a:ext uri="{FF2B5EF4-FFF2-40B4-BE49-F238E27FC236}">
              <a16:creationId xmlns:a16="http://schemas.microsoft.com/office/drawing/2014/main" id="{85998AEA-D37F-45DC-8B7F-CD51834CE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7" r="13812"/>
        <a:stretch/>
      </xdr:blipFill>
      <xdr:spPr>
        <a:xfrm>
          <a:off x="23612475" y="504825"/>
          <a:ext cx="1552574" cy="1638261"/>
        </a:xfrm>
        <a:prstGeom prst="rect">
          <a:avLst/>
        </a:prstGeom>
      </xdr:spPr>
    </xdr:pic>
    <xdr:clientData/>
  </xdr:oneCellAnchor>
  <xdr:oneCellAnchor>
    <xdr:from>
      <xdr:col>17</xdr:col>
      <xdr:colOff>9526</xdr:colOff>
      <xdr:row>41</xdr:row>
      <xdr:rowOff>190500</xdr:rowOff>
    </xdr:from>
    <xdr:ext cx="1552574" cy="1638261"/>
    <xdr:pic>
      <xdr:nvPicPr>
        <xdr:cNvPr id="14" name="Imagen 13">
          <a:extLst>
            <a:ext uri="{FF2B5EF4-FFF2-40B4-BE49-F238E27FC236}">
              <a16:creationId xmlns:a16="http://schemas.microsoft.com/office/drawing/2014/main" id="{EFCCD88F-D961-4C2C-9CB1-0E44FBDE2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4" r="14026"/>
        <a:stretch/>
      </xdr:blipFill>
      <xdr:spPr>
        <a:xfrm>
          <a:off x="23583901" y="1866900"/>
          <a:ext cx="1552574" cy="163826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41</xdr:row>
      <xdr:rowOff>190500</xdr:rowOff>
    </xdr:from>
    <xdr:ext cx="1590676" cy="1638261"/>
    <xdr:pic>
      <xdr:nvPicPr>
        <xdr:cNvPr id="22" name="Imagen 21">
          <a:extLst>
            <a:ext uri="{FF2B5EF4-FFF2-40B4-BE49-F238E27FC236}">
              <a16:creationId xmlns:a16="http://schemas.microsoft.com/office/drawing/2014/main" id="{4824014B-7938-409B-82C9-E34768E28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4" r="14026"/>
        <a:stretch/>
      </xdr:blipFill>
      <xdr:spPr>
        <a:xfrm>
          <a:off x="15716250" y="1866900"/>
          <a:ext cx="1590676" cy="1638261"/>
        </a:xfrm>
        <a:prstGeom prst="rect">
          <a:avLst/>
        </a:prstGeom>
      </xdr:spPr>
    </xdr:pic>
    <xdr:clientData/>
  </xdr:oneCellAnchor>
  <xdr:oneCellAnchor>
    <xdr:from>
      <xdr:col>17</xdr:col>
      <xdr:colOff>9526</xdr:colOff>
      <xdr:row>41</xdr:row>
      <xdr:rowOff>190500</xdr:rowOff>
    </xdr:from>
    <xdr:ext cx="1552574" cy="1638261"/>
    <xdr:pic>
      <xdr:nvPicPr>
        <xdr:cNvPr id="23" name="Imagen 22">
          <a:extLst>
            <a:ext uri="{FF2B5EF4-FFF2-40B4-BE49-F238E27FC236}">
              <a16:creationId xmlns:a16="http://schemas.microsoft.com/office/drawing/2014/main" id="{2FC640B8-2ECE-4204-AA81-E7EEF1B2E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4" r="14026"/>
        <a:stretch/>
      </xdr:blipFill>
      <xdr:spPr>
        <a:xfrm>
          <a:off x="23583901" y="1866900"/>
          <a:ext cx="1552574" cy="16382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362931</xdr:colOff>
      <xdr:row>0</xdr:row>
      <xdr:rowOff>30480</xdr:rowOff>
    </xdr:from>
    <xdr:to>
      <xdr:col>6</xdr:col>
      <xdr:colOff>419101</xdr:colOff>
      <xdr:row>4</xdr:row>
      <xdr:rowOff>192405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E48D5A-F9F6-4525-A321-6DB8DFC54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56"/>
        <a:stretch/>
      </xdr:blipFill>
      <xdr:spPr>
        <a:xfrm>
          <a:off x="4310091" y="30480"/>
          <a:ext cx="1191550" cy="1203960"/>
        </a:xfrm>
        <a:prstGeom prst="rect">
          <a:avLst/>
        </a:prstGeom>
      </xdr:spPr>
    </xdr:pic>
    <xdr:clientData/>
  </xdr:twoCellAnchor>
  <xdr:twoCellAnchor editAs="oneCell">
    <xdr:from>
      <xdr:col>3</xdr:col>
      <xdr:colOff>90229</xdr:colOff>
      <xdr:row>0</xdr:row>
      <xdr:rowOff>30480</xdr:rowOff>
    </xdr:from>
    <xdr:to>
      <xdr:col>4</xdr:col>
      <xdr:colOff>281941</xdr:colOff>
      <xdr:row>4</xdr:row>
      <xdr:rowOff>6767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06EE9B-368B-4256-BC41-545BC934B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37"/>
        <a:stretch/>
      </xdr:blipFill>
      <xdr:spPr>
        <a:xfrm>
          <a:off x="3244909" y="30480"/>
          <a:ext cx="984192" cy="10183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19050</xdr:rowOff>
    </xdr:from>
    <xdr:to>
      <xdr:col>7</xdr:col>
      <xdr:colOff>447675</xdr:colOff>
      <xdr:row>7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022F4-59B4-0A94-BEBB-AF300F771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419100"/>
          <a:ext cx="1781175" cy="1924050"/>
        </a:xfrm>
        <a:prstGeom prst="rect">
          <a:avLst/>
        </a:prstGeom>
      </xdr:spPr>
    </xdr:pic>
    <xdr:clientData/>
  </xdr:twoCellAnchor>
  <xdr:twoCellAnchor editAs="oneCell">
    <xdr:from>
      <xdr:col>7</xdr:col>
      <xdr:colOff>552450</xdr:colOff>
      <xdr:row>0</xdr:row>
      <xdr:rowOff>390525</xdr:rowOff>
    </xdr:from>
    <xdr:to>
      <xdr:col>9</xdr:col>
      <xdr:colOff>695325</xdr:colOff>
      <xdr:row>7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F47069-A2E8-D912-BA14-9CA4AF3E2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90525"/>
          <a:ext cx="166687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79"/>
  <sheetViews>
    <sheetView showGridLines="0" topLeftCell="A34" zoomScale="85" zoomScaleNormal="85" workbookViewId="0">
      <selection activeCell="X28" sqref="X28:Y2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28515625" customWidth="1"/>
    <col min="15" max="15" width="5.7109375" customWidth="1"/>
    <col min="16" max="17" width="0.5703125" customWidth="1"/>
    <col min="18" max="18" width="6.7109375" customWidth="1"/>
    <col min="19" max="19" width="5.28515625" customWidth="1"/>
    <col min="20" max="20" width="10.7109375" customWidth="1"/>
    <col min="21" max="21" width="6.5703125" customWidth="1"/>
    <col min="22" max="22" width="9.28515625" customWidth="1"/>
    <col min="23" max="23" width="9.7109375" customWidth="1"/>
    <col min="24" max="24" width="10.7109375" customWidth="1"/>
    <col min="25" max="25" width="5.7109375" customWidth="1"/>
    <col min="26" max="26" width="9.7109375" customWidth="1"/>
    <col min="27" max="27" width="10.7109375" customWidth="1"/>
    <col min="28" max="28" width="5.7109375" customWidth="1"/>
    <col min="29" max="29" width="9.7109375" customWidth="1"/>
    <col min="30" max="30" width="10.28515625" customWidth="1"/>
    <col min="31" max="31" width="5.7109375" customWidth="1"/>
    <col min="32" max="33" width="0.5703125" customWidth="1"/>
    <col min="34" max="34" width="6.7109375" customWidth="1"/>
    <col min="35" max="35" width="5.28515625" customWidth="1"/>
    <col min="36" max="36" width="10.7109375" customWidth="1"/>
    <col min="37" max="37" width="6.5703125" customWidth="1"/>
    <col min="38" max="38" width="9.28515625" customWidth="1"/>
    <col min="39" max="39" width="9.7109375" customWidth="1"/>
    <col min="40" max="40" width="10.7109375" customWidth="1"/>
    <col min="41" max="41" width="5.7109375" customWidth="1"/>
    <col min="42" max="42" width="9.7109375" customWidth="1"/>
    <col min="43" max="43" width="10.7109375" customWidth="1"/>
    <col min="44" max="44" width="5.7109375" customWidth="1"/>
    <col min="45" max="45" width="9.7109375" customWidth="1"/>
    <col min="46" max="46" width="9.140625" customWidth="1"/>
    <col min="47" max="47" width="5.7109375" customWidth="1"/>
    <col min="48" max="48" width="1.28515625" customWidth="1"/>
    <col min="49" max="49" width="0.85546875" customWidth="1"/>
    <col min="50" max="50" width="6.7109375" customWidth="1"/>
    <col min="51" max="51" width="5.28515625" customWidth="1"/>
    <col min="52" max="52" width="10.7109375" customWidth="1"/>
    <col min="53" max="53" width="6.5703125" customWidth="1"/>
    <col min="54" max="54" width="9.28515625" customWidth="1"/>
    <col min="55" max="55" width="9.7109375" customWidth="1"/>
    <col min="56" max="56" width="10.7109375" customWidth="1"/>
    <col min="57" max="57" width="5.7109375" customWidth="1"/>
    <col min="58" max="58" width="9.7109375" customWidth="1"/>
    <col min="59" max="59" width="10.7109375" customWidth="1"/>
    <col min="60" max="60" width="5.7109375" customWidth="1"/>
    <col min="61" max="61" width="9.7109375" customWidth="1"/>
    <col min="62" max="62" width="10.28515625" customWidth="1"/>
    <col min="63" max="63" width="5.7109375" customWidth="1"/>
  </cols>
  <sheetData>
    <row r="1" spans="1:32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  <c r="Q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t="s">
        <v>0</v>
      </c>
    </row>
    <row r="2" spans="1:32" ht="15.95" customHeight="1" x14ac:dyDescent="0.25">
      <c r="B2" s="166" t="s">
        <v>1</v>
      </c>
      <c r="C2" s="167"/>
      <c r="D2" s="168"/>
      <c r="E2" s="172" t="s">
        <v>2</v>
      </c>
      <c r="F2" s="172"/>
      <c r="G2" s="172"/>
      <c r="H2" s="172"/>
      <c r="I2" s="172"/>
      <c r="J2" s="172"/>
      <c r="K2" s="172"/>
      <c r="L2" s="172"/>
      <c r="M2" s="172"/>
      <c r="N2" s="172"/>
      <c r="O2" s="173"/>
      <c r="R2" s="166" t="s">
        <v>1</v>
      </c>
      <c r="S2" s="167"/>
      <c r="T2" s="168"/>
      <c r="U2" s="172" t="s">
        <v>2</v>
      </c>
      <c r="V2" s="172"/>
      <c r="W2" s="172"/>
      <c r="X2" s="172"/>
      <c r="Y2" s="172"/>
      <c r="Z2" s="172"/>
      <c r="AA2" s="172"/>
      <c r="AB2" s="172"/>
      <c r="AC2" s="172"/>
      <c r="AD2" s="172"/>
      <c r="AE2" s="173"/>
    </row>
    <row r="3" spans="1:32" ht="15.95" customHeight="1" thickBot="1" x14ac:dyDescent="0.3">
      <c r="B3" s="169"/>
      <c r="C3" s="170"/>
      <c r="D3" s="171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5"/>
      <c r="R3" s="169"/>
      <c r="S3" s="170"/>
      <c r="T3" s="171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5"/>
    </row>
    <row r="4" spans="1:32" ht="21" customHeight="1" x14ac:dyDescent="0.25">
      <c r="B4" s="2"/>
      <c r="C4" s="5"/>
      <c r="D4" s="6"/>
      <c r="E4" s="176" t="s">
        <v>19</v>
      </c>
      <c r="F4" s="177"/>
      <c r="G4" s="177"/>
      <c r="H4" s="177"/>
      <c r="I4" s="177"/>
      <c r="J4" s="177"/>
      <c r="K4" s="177"/>
      <c r="L4" s="177"/>
      <c r="M4" s="177"/>
      <c r="N4" s="177"/>
      <c r="O4" s="178"/>
      <c r="R4" s="2"/>
      <c r="S4" s="5"/>
      <c r="T4" s="6"/>
      <c r="U4" s="176" t="s">
        <v>19</v>
      </c>
      <c r="V4" s="177"/>
      <c r="W4" s="177"/>
      <c r="X4" s="177"/>
      <c r="Y4" s="177"/>
      <c r="Z4" s="177"/>
      <c r="AA4" s="177"/>
      <c r="AB4" s="177"/>
      <c r="AC4" s="177"/>
      <c r="AD4" s="177"/>
      <c r="AE4" s="178"/>
    </row>
    <row r="5" spans="1:32" ht="19.5" customHeight="1" x14ac:dyDescent="0.25">
      <c r="B5" s="2"/>
      <c r="C5" s="5"/>
      <c r="D5" s="7"/>
      <c r="E5" s="179"/>
      <c r="F5" s="180"/>
      <c r="G5" s="180"/>
      <c r="H5" s="180"/>
      <c r="I5" s="180"/>
      <c r="J5" s="180"/>
      <c r="K5" s="180"/>
      <c r="L5" s="180"/>
      <c r="M5" s="180"/>
      <c r="N5" s="180"/>
      <c r="O5" s="181"/>
      <c r="R5" s="2"/>
      <c r="S5" s="5"/>
      <c r="T5" s="7"/>
      <c r="U5" s="179"/>
      <c r="V5" s="180"/>
      <c r="W5" s="180"/>
      <c r="X5" s="180"/>
      <c r="Y5" s="180"/>
      <c r="Z5" s="180"/>
      <c r="AA5" s="180"/>
      <c r="AB5" s="180"/>
      <c r="AC5" s="180"/>
      <c r="AD5" s="180"/>
      <c r="AE5" s="181"/>
    </row>
    <row r="6" spans="1:32" ht="18.95" customHeight="1" x14ac:dyDescent="0.25">
      <c r="B6" s="2"/>
      <c r="C6" s="5"/>
      <c r="D6" s="7"/>
      <c r="E6" s="179"/>
      <c r="F6" s="180"/>
      <c r="G6" s="180"/>
      <c r="H6" s="180"/>
      <c r="I6" s="180"/>
      <c r="J6" s="180"/>
      <c r="K6" s="180"/>
      <c r="L6" s="180"/>
      <c r="M6" s="180"/>
      <c r="N6" s="180"/>
      <c r="O6" s="181"/>
      <c r="R6" s="2"/>
      <c r="S6" s="5"/>
      <c r="T6" s="7"/>
      <c r="U6" s="179"/>
      <c r="V6" s="180"/>
      <c r="W6" s="180"/>
      <c r="X6" s="180"/>
      <c r="Y6" s="180"/>
      <c r="Z6" s="180"/>
      <c r="AA6" s="180"/>
      <c r="AB6" s="180"/>
      <c r="AC6" s="180"/>
      <c r="AD6" s="180"/>
      <c r="AE6" s="181"/>
    </row>
    <row r="7" spans="1:32" ht="21.75" customHeight="1" thickBot="1" x14ac:dyDescent="0.3">
      <c r="B7" s="2"/>
      <c r="C7" s="5"/>
      <c r="D7" s="7"/>
      <c r="E7" s="182"/>
      <c r="F7" s="183"/>
      <c r="G7" s="183"/>
      <c r="H7" s="183"/>
      <c r="I7" s="183"/>
      <c r="J7" s="183"/>
      <c r="K7" s="183"/>
      <c r="L7" s="183"/>
      <c r="M7" s="183"/>
      <c r="N7" s="183"/>
      <c r="O7" s="184"/>
      <c r="R7" s="2"/>
      <c r="S7" s="5"/>
      <c r="T7" s="7"/>
      <c r="U7" s="182"/>
      <c r="V7" s="183"/>
      <c r="W7" s="183"/>
      <c r="X7" s="183"/>
      <c r="Y7" s="183"/>
      <c r="Z7" s="183"/>
      <c r="AA7" s="183"/>
      <c r="AB7" s="183"/>
      <c r="AC7" s="183"/>
      <c r="AD7" s="183"/>
      <c r="AE7" s="184"/>
    </row>
    <row r="8" spans="1:32" ht="15.95" customHeight="1" thickBot="1" x14ac:dyDescent="0.3">
      <c r="B8" s="2"/>
      <c r="C8" s="5"/>
      <c r="D8" s="7"/>
      <c r="E8" s="130" t="s">
        <v>4</v>
      </c>
      <c r="F8" s="131"/>
      <c r="G8" s="152" t="s">
        <v>33</v>
      </c>
      <c r="H8" s="153"/>
      <c r="I8" s="153"/>
      <c r="J8" s="153"/>
      <c r="K8" s="153"/>
      <c r="L8" s="154"/>
      <c r="M8" s="152" t="s">
        <v>13</v>
      </c>
      <c r="N8" s="153"/>
      <c r="O8" s="154"/>
      <c r="R8" s="2"/>
      <c r="S8" s="5"/>
      <c r="T8" s="7"/>
      <c r="U8" s="130" t="s">
        <v>4</v>
      </c>
      <c r="V8" s="131"/>
      <c r="W8" s="152" t="s">
        <v>17</v>
      </c>
      <c r="X8" s="153"/>
      <c r="Y8" s="153"/>
      <c r="Z8" s="153"/>
      <c r="AA8" s="153"/>
      <c r="AB8" s="154"/>
      <c r="AC8" s="152" t="s">
        <v>13</v>
      </c>
      <c r="AD8" s="153"/>
      <c r="AE8" s="154"/>
    </row>
    <row r="9" spans="1:32" ht="15.95" customHeight="1" thickBot="1" x14ac:dyDescent="0.3">
      <c r="B9" s="2"/>
      <c r="C9" s="5"/>
      <c r="D9" s="7"/>
      <c r="E9" s="130"/>
      <c r="F9" s="131"/>
      <c r="G9" s="155"/>
      <c r="H9" s="156"/>
      <c r="I9" s="156"/>
      <c r="J9" s="156"/>
      <c r="K9" s="156"/>
      <c r="L9" s="157"/>
      <c r="M9" s="155"/>
      <c r="N9" s="156"/>
      <c r="O9" s="157"/>
      <c r="R9" s="2"/>
      <c r="S9" s="5"/>
      <c r="T9" s="7"/>
      <c r="U9" s="130"/>
      <c r="V9" s="131"/>
      <c r="W9" s="155"/>
      <c r="X9" s="156"/>
      <c r="Y9" s="156"/>
      <c r="Z9" s="156"/>
      <c r="AA9" s="156"/>
      <c r="AB9" s="157"/>
      <c r="AC9" s="155"/>
      <c r="AD9" s="156"/>
      <c r="AE9" s="157"/>
    </row>
    <row r="10" spans="1:32" ht="15.95" customHeight="1" thickBot="1" x14ac:dyDescent="0.3">
      <c r="B10" s="2"/>
      <c r="C10" s="5"/>
      <c r="D10" s="7"/>
      <c r="E10" s="130" t="s">
        <v>3</v>
      </c>
      <c r="F10" s="131"/>
      <c r="G10" s="146" t="s">
        <v>20</v>
      </c>
      <c r="H10" s="147"/>
      <c r="I10" s="148"/>
      <c r="J10" s="146" t="s">
        <v>21</v>
      </c>
      <c r="K10" s="147"/>
      <c r="L10" s="148"/>
      <c r="M10" s="152" t="s">
        <v>13</v>
      </c>
      <c r="N10" s="153"/>
      <c r="O10" s="154"/>
      <c r="R10" s="2"/>
      <c r="S10" s="5"/>
      <c r="T10" s="7"/>
      <c r="U10" s="130" t="s">
        <v>3</v>
      </c>
      <c r="V10" s="131"/>
      <c r="W10" s="146" t="s">
        <v>20</v>
      </c>
      <c r="X10" s="147"/>
      <c r="Y10" s="148"/>
      <c r="Z10" s="146" t="s">
        <v>21</v>
      </c>
      <c r="AA10" s="147"/>
      <c r="AB10" s="148"/>
      <c r="AC10" s="152" t="s">
        <v>13</v>
      </c>
      <c r="AD10" s="153"/>
      <c r="AE10" s="154"/>
    </row>
    <row r="11" spans="1:32" ht="15.95" customHeight="1" thickBot="1" x14ac:dyDescent="0.3">
      <c r="B11" s="2"/>
      <c r="C11" s="5"/>
      <c r="D11" s="7"/>
      <c r="E11" s="130"/>
      <c r="F11" s="131"/>
      <c r="G11" s="149"/>
      <c r="H11" s="150"/>
      <c r="I11" s="151"/>
      <c r="J11" s="149"/>
      <c r="K11" s="150"/>
      <c r="L11" s="151"/>
      <c r="M11" s="155"/>
      <c r="N11" s="156"/>
      <c r="O11" s="157"/>
      <c r="R11" s="2"/>
      <c r="S11" s="5"/>
      <c r="T11" s="7"/>
      <c r="U11" s="130"/>
      <c r="V11" s="131"/>
      <c r="W11" s="149"/>
      <c r="X11" s="150"/>
      <c r="Y11" s="151"/>
      <c r="Z11" s="149"/>
      <c r="AA11" s="150"/>
      <c r="AB11" s="151"/>
      <c r="AC11" s="155"/>
      <c r="AD11" s="156"/>
      <c r="AE11" s="157"/>
    </row>
    <row r="12" spans="1:32" ht="15.95" customHeight="1" thickBot="1" x14ac:dyDescent="0.3">
      <c r="B12" s="2"/>
      <c r="C12" s="5"/>
      <c r="D12" s="7"/>
      <c r="E12" s="158" t="s">
        <v>5</v>
      </c>
      <c r="F12" s="159"/>
      <c r="G12" s="160" t="s">
        <v>37</v>
      </c>
      <c r="H12" s="161"/>
      <c r="I12" s="162"/>
      <c r="J12" s="160" t="s">
        <v>36</v>
      </c>
      <c r="K12" s="161"/>
      <c r="L12" s="162"/>
      <c r="M12" s="160" t="s">
        <v>13</v>
      </c>
      <c r="N12" s="161"/>
      <c r="O12" s="162"/>
      <c r="R12" s="2"/>
      <c r="S12" s="5"/>
      <c r="T12" s="7"/>
      <c r="U12" s="158" t="s">
        <v>5</v>
      </c>
      <c r="V12" s="159"/>
      <c r="W12" s="160" t="s">
        <v>35</v>
      </c>
      <c r="X12" s="161"/>
      <c r="Y12" s="162"/>
      <c r="Z12" s="160" t="s">
        <v>34</v>
      </c>
      <c r="AA12" s="161"/>
      <c r="AB12" s="162"/>
      <c r="AC12" s="160" t="s">
        <v>13</v>
      </c>
      <c r="AD12" s="161"/>
      <c r="AE12" s="162"/>
    </row>
    <row r="13" spans="1:32" ht="15.95" customHeight="1" thickBot="1" x14ac:dyDescent="0.3">
      <c r="B13" s="2"/>
      <c r="C13" s="5"/>
      <c r="D13" s="7"/>
      <c r="E13" s="158"/>
      <c r="F13" s="159"/>
      <c r="G13" s="163"/>
      <c r="H13" s="164"/>
      <c r="I13" s="165"/>
      <c r="J13" s="163"/>
      <c r="K13" s="164"/>
      <c r="L13" s="165"/>
      <c r="M13" s="163"/>
      <c r="N13" s="164"/>
      <c r="O13" s="165"/>
      <c r="R13" s="2"/>
      <c r="S13" s="5"/>
      <c r="T13" s="7"/>
      <c r="U13" s="158"/>
      <c r="V13" s="159"/>
      <c r="W13" s="163"/>
      <c r="X13" s="164"/>
      <c r="Y13" s="165"/>
      <c r="Z13" s="163"/>
      <c r="AA13" s="164"/>
      <c r="AB13" s="165"/>
      <c r="AC13" s="163"/>
      <c r="AD13" s="164"/>
      <c r="AE13" s="165"/>
    </row>
    <row r="14" spans="1:32" ht="15.95" customHeight="1" thickBot="1" x14ac:dyDescent="0.3">
      <c r="B14" s="2"/>
      <c r="C14" s="5"/>
      <c r="D14" s="7"/>
      <c r="E14" s="130" t="s">
        <v>18</v>
      </c>
      <c r="F14" s="131"/>
      <c r="G14" s="142">
        <f>41*110%</f>
        <v>45.1</v>
      </c>
      <c r="H14" s="143"/>
      <c r="I14" s="128" t="s">
        <v>6</v>
      </c>
      <c r="J14" s="142">
        <f>35*110%</f>
        <v>38.5</v>
      </c>
      <c r="K14" s="143"/>
      <c r="L14" s="128" t="s">
        <v>6</v>
      </c>
      <c r="M14" s="113"/>
      <c r="N14" s="113"/>
      <c r="O14" s="128" t="s">
        <v>6</v>
      </c>
      <c r="R14" s="2"/>
      <c r="S14" s="5"/>
      <c r="T14" s="7"/>
      <c r="U14" s="130" t="s">
        <v>18</v>
      </c>
      <c r="V14" s="131"/>
      <c r="W14" s="142">
        <f>51*110%</f>
        <v>56.1</v>
      </c>
      <c r="X14" s="143"/>
      <c r="Y14" s="128" t="s">
        <v>6</v>
      </c>
      <c r="Z14" s="142">
        <f>43*110%</f>
        <v>47.300000000000004</v>
      </c>
      <c r="AA14" s="143"/>
      <c r="AB14" s="128" t="s">
        <v>6</v>
      </c>
      <c r="AC14" s="113"/>
      <c r="AD14" s="113"/>
      <c r="AE14" s="128" t="s">
        <v>6</v>
      </c>
    </row>
    <row r="15" spans="1:32" ht="15.95" customHeight="1" thickBot="1" x14ac:dyDescent="0.3">
      <c r="B15" s="2"/>
      <c r="C15" s="5"/>
      <c r="D15" s="7"/>
      <c r="E15" s="130"/>
      <c r="F15" s="131"/>
      <c r="G15" s="144"/>
      <c r="H15" s="145"/>
      <c r="I15" s="129"/>
      <c r="J15" s="144"/>
      <c r="K15" s="145"/>
      <c r="L15" s="129"/>
      <c r="M15" s="114"/>
      <c r="N15" s="114"/>
      <c r="O15" s="129"/>
      <c r="R15" s="2"/>
      <c r="S15" s="5"/>
      <c r="T15" s="7"/>
      <c r="U15" s="130"/>
      <c r="V15" s="131"/>
      <c r="W15" s="144"/>
      <c r="X15" s="145"/>
      <c r="Y15" s="129"/>
      <c r="Z15" s="144"/>
      <c r="AA15" s="145"/>
      <c r="AB15" s="129"/>
      <c r="AC15" s="114"/>
      <c r="AD15" s="114"/>
      <c r="AE15" s="129"/>
    </row>
    <row r="16" spans="1:32" ht="15.95" customHeight="1" thickBot="1" x14ac:dyDescent="0.3">
      <c r="B16" s="2"/>
      <c r="C16" s="5"/>
      <c r="D16" s="7"/>
      <c r="E16" s="130" t="s">
        <v>7</v>
      </c>
      <c r="F16" s="131"/>
      <c r="G16" s="132">
        <v>2.0486111111111113E-3</v>
      </c>
      <c r="H16" s="133"/>
      <c r="I16" s="136" t="s">
        <v>8</v>
      </c>
      <c r="J16" s="132">
        <v>1.6898148148148148E-3</v>
      </c>
      <c r="K16" s="133"/>
      <c r="L16" s="136" t="s">
        <v>8</v>
      </c>
      <c r="M16" s="138"/>
      <c r="N16" s="139"/>
      <c r="O16" s="136" t="s">
        <v>8</v>
      </c>
      <c r="R16" s="2"/>
      <c r="S16" s="5"/>
      <c r="T16" s="7"/>
      <c r="U16" s="130" t="s">
        <v>7</v>
      </c>
      <c r="V16" s="131"/>
      <c r="W16" s="132">
        <v>2.3032407407407407E-3</v>
      </c>
      <c r="X16" s="133"/>
      <c r="Y16" s="136" t="s">
        <v>8</v>
      </c>
      <c r="Z16" s="132">
        <v>2.0023148148148148E-3</v>
      </c>
      <c r="AA16" s="133"/>
      <c r="AB16" s="136" t="s">
        <v>8</v>
      </c>
      <c r="AC16" s="138"/>
      <c r="AD16" s="139"/>
      <c r="AE16" s="136" t="s">
        <v>8</v>
      </c>
    </row>
    <row r="17" spans="2:31" ht="15.95" customHeight="1" thickBot="1" x14ac:dyDescent="0.3">
      <c r="B17" s="3"/>
      <c r="C17" s="4"/>
      <c r="D17" s="8"/>
      <c r="E17" s="130"/>
      <c r="F17" s="131"/>
      <c r="G17" s="134"/>
      <c r="H17" s="135"/>
      <c r="I17" s="137"/>
      <c r="J17" s="134"/>
      <c r="K17" s="135"/>
      <c r="L17" s="137"/>
      <c r="M17" s="140"/>
      <c r="N17" s="141"/>
      <c r="O17" s="137"/>
      <c r="R17" s="3"/>
      <c r="S17" s="4"/>
      <c r="T17" s="8"/>
      <c r="U17" s="130"/>
      <c r="V17" s="131"/>
      <c r="W17" s="134"/>
      <c r="X17" s="135"/>
      <c r="Y17" s="137"/>
      <c r="Z17" s="134"/>
      <c r="AA17" s="135"/>
      <c r="AB17" s="137"/>
      <c r="AC17" s="140"/>
      <c r="AD17" s="141"/>
      <c r="AE17" s="137"/>
    </row>
    <row r="18" spans="2:31" ht="15.95" customHeight="1" x14ac:dyDescent="0.25">
      <c r="B18" s="97" t="s">
        <v>12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9"/>
      <c r="R18" s="97" t="s">
        <v>12</v>
      </c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9"/>
    </row>
    <row r="19" spans="2:31" ht="15.95" customHeight="1" thickBot="1" x14ac:dyDescent="0.3"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2"/>
      <c r="R19" s="100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2"/>
    </row>
    <row r="20" spans="2:31" ht="9.75" customHeight="1" x14ac:dyDescent="0.25">
      <c r="B20" s="103" t="s">
        <v>15</v>
      </c>
      <c r="C20" s="104"/>
      <c r="D20" s="104"/>
      <c r="E20" s="104"/>
      <c r="F20" s="104"/>
      <c r="G20" s="107" t="s">
        <v>32</v>
      </c>
      <c r="H20" s="108"/>
      <c r="I20" s="108"/>
      <c r="J20" s="108"/>
      <c r="K20" s="108"/>
      <c r="L20" s="109"/>
      <c r="M20" s="107"/>
      <c r="N20" s="108"/>
      <c r="O20" s="109"/>
      <c r="R20" s="103" t="s">
        <v>15</v>
      </c>
      <c r="S20" s="104"/>
      <c r="T20" s="104"/>
      <c r="U20" s="104"/>
      <c r="V20" s="104"/>
      <c r="W20" s="107" t="s">
        <v>28</v>
      </c>
      <c r="X20" s="108"/>
      <c r="Y20" s="108"/>
      <c r="Z20" s="108"/>
      <c r="AA20" s="108"/>
      <c r="AB20" s="109"/>
      <c r="AC20" s="107"/>
      <c r="AD20" s="108"/>
      <c r="AE20" s="109"/>
    </row>
    <row r="21" spans="2:31" ht="18.75" customHeight="1" thickBot="1" x14ac:dyDescent="0.3">
      <c r="B21" s="105"/>
      <c r="C21" s="106"/>
      <c r="D21" s="106"/>
      <c r="E21" s="106"/>
      <c r="F21" s="106"/>
      <c r="G21" s="110"/>
      <c r="H21" s="111"/>
      <c r="I21" s="111"/>
      <c r="J21" s="111"/>
      <c r="K21" s="111"/>
      <c r="L21" s="112"/>
      <c r="M21" s="110"/>
      <c r="N21" s="111"/>
      <c r="O21" s="112"/>
      <c r="R21" s="105"/>
      <c r="S21" s="106"/>
      <c r="T21" s="106"/>
      <c r="U21" s="106"/>
      <c r="V21" s="106"/>
      <c r="W21" s="110"/>
      <c r="X21" s="111"/>
      <c r="Y21" s="111"/>
      <c r="Z21" s="111"/>
      <c r="AA21" s="111"/>
      <c r="AB21" s="112"/>
      <c r="AC21" s="110"/>
      <c r="AD21" s="111"/>
      <c r="AE21" s="112"/>
    </row>
    <row r="22" spans="2:31" ht="10.5" customHeight="1" x14ac:dyDescent="0.25">
      <c r="B22" s="122" t="s">
        <v>11</v>
      </c>
      <c r="C22" s="123"/>
      <c r="D22" s="126" t="s">
        <v>9</v>
      </c>
      <c r="E22" s="126"/>
      <c r="F22" s="126"/>
      <c r="G22" s="119" t="s">
        <v>16</v>
      </c>
      <c r="H22" s="115" t="s">
        <v>14</v>
      </c>
      <c r="I22" s="116"/>
      <c r="J22" s="119" t="s">
        <v>16</v>
      </c>
      <c r="K22" s="115" t="s">
        <v>14</v>
      </c>
      <c r="L22" s="116"/>
      <c r="M22" s="119"/>
      <c r="N22" s="115"/>
      <c r="O22" s="116"/>
      <c r="R22" s="122" t="s">
        <v>11</v>
      </c>
      <c r="S22" s="123"/>
      <c r="T22" s="126" t="s">
        <v>9</v>
      </c>
      <c r="U22" s="126"/>
      <c r="V22" s="126"/>
      <c r="W22" s="119" t="s">
        <v>16</v>
      </c>
      <c r="X22" s="115" t="s">
        <v>14</v>
      </c>
      <c r="Y22" s="116"/>
      <c r="Z22" s="119" t="s">
        <v>16</v>
      </c>
      <c r="AA22" s="115" t="s">
        <v>14</v>
      </c>
      <c r="AB22" s="116"/>
      <c r="AC22" s="119"/>
      <c r="AD22" s="115"/>
      <c r="AE22" s="116"/>
    </row>
    <row r="23" spans="2:31" ht="15.95" customHeight="1" thickBot="1" x14ac:dyDescent="0.3">
      <c r="B23" s="124"/>
      <c r="C23" s="125"/>
      <c r="D23" s="127"/>
      <c r="E23" s="127"/>
      <c r="F23" s="127"/>
      <c r="G23" s="120"/>
      <c r="H23" s="117"/>
      <c r="I23" s="118"/>
      <c r="J23" s="120"/>
      <c r="K23" s="117"/>
      <c r="L23" s="118"/>
      <c r="M23" s="120"/>
      <c r="N23" s="117"/>
      <c r="O23" s="118"/>
      <c r="R23" s="124"/>
      <c r="S23" s="125"/>
      <c r="T23" s="127"/>
      <c r="U23" s="127"/>
      <c r="V23" s="127"/>
      <c r="W23" s="120"/>
      <c r="X23" s="117"/>
      <c r="Y23" s="118"/>
      <c r="Z23" s="120"/>
      <c r="AA23" s="117"/>
      <c r="AB23" s="118"/>
      <c r="AC23" s="120"/>
      <c r="AD23" s="117"/>
      <c r="AE23" s="118"/>
    </row>
    <row r="24" spans="2:31" ht="15.95" customHeight="1" x14ac:dyDescent="0.25">
      <c r="B24" s="93">
        <v>0.40150000000000002</v>
      </c>
      <c r="C24" s="94"/>
      <c r="D24" s="89" t="s">
        <v>22</v>
      </c>
      <c r="E24" s="90"/>
      <c r="F24" s="121"/>
      <c r="G24" s="91">
        <v>2</v>
      </c>
      <c r="H24" s="79" t="s">
        <v>10</v>
      </c>
      <c r="I24" s="80"/>
      <c r="J24" s="91">
        <v>2</v>
      </c>
      <c r="K24" s="79" t="s">
        <v>10</v>
      </c>
      <c r="L24" s="80"/>
      <c r="M24" s="77"/>
      <c r="N24" s="73"/>
      <c r="O24" s="74"/>
      <c r="R24" s="93">
        <v>0.40150000000000002</v>
      </c>
      <c r="S24" s="94"/>
      <c r="T24" s="89" t="s">
        <v>22</v>
      </c>
      <c r="U24" s="90"/>
      <c r="V24" s="121"/>
      <c r="W24" s="91">
        <v>2</v>
      </c>
      <c r="X24" s="79" t="s">
        <v>10</v>
      </c>
      <c r="Y24" s="80"/>
      <c r="Z24" s="91">
        <v>2</v>
      </c>
      <c r="AA24" s="79" t="s">
        <v>10</v>
      </c>
      <c r="AB24" s="80"/>
      <c r="AC24" s="77"/>
      <c r="AD24" s="73"/>
      <c r="AE24" s="74"/>
    </row>
    <row r="25" spans="2:31" ht="15.95" customHeight="1" thickBot="1" x14ac:dyDescent="0.3">
      <c r="B25" s="95"/>
      <c r="C25" s="96"/>
      <c r="D25" s="83" t="s">
        <v>23</v>
      </c>
      <c r="E25" s="84"/>
      <c r="F25" s="84"/>
      <c r="G25" s="92"/>
      <c r="H25" s="81"/>
      <c r="I25" s="82"/>
      <c r="J25" s="92"/>
      <c r="K25" s="81"/>
      <c r="L25" s="82"/>
      <c r="M25" s="78"/>
      <c r="N25" s="75"/>
      <c r="O25" s="76"/>
      <c r="R25" s="95"/>
      <c r="S25" s="96"/>
      <c r="T25" s="83" t="s">
        <v>23</v>
      </c>
      <c r="U25" s="84"/>
      <c r="V25" s="84"/>
      <c r="W25" s="92"/>
      <c r="X25" s="81"/>
      <c r="Y25" s="82"/>
      <c r="Z25" s="92"/>
      <c r="AA25" s="81"/>
      <c r="AB25" s="82"/>
      <c r="AC25" s="78"/>
      <c r="AD25" s="75"/>
      <c r="AE25" s="76"/>
    </row>
    <row r="26" spans="2:31" ht="15.95" customHeight="1" x14ac:dyDescent="0.25">
      <c r="B26" s="93">
        <v>3.5000000000000001E-3</v>
      </c>
      <c r="C26" s="94"/>
      <c r="D26" s="89" t="s">
        <v>24</v>
      </c>
      <c r="E26" s="90"/>
      <c r="F26" s="90"/>
      <c r="G26" s="193" t="s">
        <v>103</v>
      </c>
      <c r="H26" s="195">
        <v>3.5</v>
      </c>
      <c r="I26" s="196"/>
      <c r="J26" s="199">
        <v>3</v>
      </c>
      <c r="K26" s="201" t="s">
        <v>25</v>
      </c>
      <c r="L26" s="202"/>
      <c r="M26" s="77"/>
      <c r="N26" s="73"/>
      <c r="O26" s="74"/>
      <c r="R26" s="93">
        <v>3.5000000000000001E-3</v>
      </c>
      <c r="S26" s="94"/>
      <c r="T26" s="89" t="s">
        <v>24</v>
      </c>
      <c r="U26" s="90"/>
      <c r="V26" s="90"/>
      <c r="W26" s="193" t="s">
        <v>103</v>
      </c>
      <c r="X26" s="195">
        <v>3.2</v>
      </c>
      <c r="Y26" s="196"/>
      <c r="Z26" s="199">
        <v>3</v>
      </c>
      <c r="AA26" s="189" t="s">
        <v>25</v>
      </c>
      <c r="AB26" s="190"/>
      <c r="AC26" s="77"/>
      <c r="AD26" s="73"/>
      <c r="AE26" s="74"/>
    </row>
    <row r="27" spans="2:31" ht="15.95" customHeight="1" thickBot="1" x14ac:dyDescent="0.3">
      <c r="B27" s="95"/>
      <c r="C27" s="96"/>
      <c r="D27" s="83">
        <v>40</v>
      </c>
      <c r="E27" s="84"/>
      <c r="F27" s="84"/>
      <c r="G27" s="194"/>
      <c r="H27" s="197"/>
      <c r="I27" s="198"/>
      <c r="J27" s="200"/>
      <c r="K27" s="203"/>
      <c r="L27" s="204"/>
      <c r="M27" s="78"/>
      <c r="N27" s="75"/>
      <c r="O27" s="76"/>
      <c r="R27" s="95"/>
      <c r="S27" s="96"/>
      <c r="T27" s="83">
        <v>40</v>
      </c>
      <c r="U27" s="84"/>
      <c r="V27" s="84"/>
      <c r="W27" s="194"/>
      <c r="X27" s="197"/>
      <c r="Y27" s="198"/>
      <c r="Z27" s="200"/>
      <c r="AA27" s="191"/>
      <c r="AB27" s="192"/>
      <c r="AC27" s="78"/>
      <c r="AD27" s="75"/>
      <c r="AE27" s="76"/>
    </row>
    <row r="28" spans="2:31" ht="15.95" customHeight="1" x14ac:dyDescent="0.25">
      <c r="B28" s="93">
        <v>0.59499999999999997</v>
      </c>
      <c r="C28" s="94"/>
      <c r="D28" s="89" t="s">
        <v>26</v>
      </c>
      <c r="E28" s="90"/>
      <c r="F28" s="90"/>
      <c r="G28" s="91">
        <v>5</v>
      </c>
      <c r="H28" s="73" t="s">
        <v>10</v>
      </c>
      <c r="I28" s="74"/>
      <c r="J28" s="91">
        <v>5</v>
      </c>
      <c r="K28" s="73" t="s">
        <v>10</v>
      </c>
      <c r="L28" s="74"/>
      <c r="M28" s="77"/>
      <c r="N28" s="73"/>
      <c r="O28" s="74"/>
      <c r="R28" s="93">
        <v>0.59499999999999997</v>
      </c>
      <c r="S28" s="94"/>
      <c r="T28" s="89" t="s">
        <v>26</v>
      </c>
      <c r="U28" s="90"/>
      <c r="V28" s="90"/>
      <c r="W28" s="91">
        <v>5</v>
      </c>
      <c r="X28" s="73" t="s">
        <v>10</v>
      </c>
      <c r="Y28" s="74"/>
      <c r="Z28" s="91">
        <v>5</v>
      </c>
      <c r="AA28" s="73" t="s">
        <v>10</v>
      </c>
      <c r="AB28" s="74"/>
      <c r="AC28" s="77"/>
      <c r="AD28" s="73"/>
      <c r="AE28" s="74"/>
    </row>
    <row r="29" spans="2:31" ht="15.95" customHeight="1" thickBot="1" x14ac:dyDescent="0.3">
      <c r="B29" s="95"/>
      <c r="C29" s="96"/>
      <c r="D29" s="83" t="s">
        <v>27</v>
      </c>
      <c r="E29" s="84"/>
      <c r="F29" s="84"/>
      <c r="G29" s="92"/>
      <c r="H29" s="75"/>
      <c r="I29" s="76"/>
      <c r="J29" s="92"/>
      <c r="K29" s="75"/>
      <c r="L29" s="76"/>
      <c r="M29" s="78"/>
      <c r="N29" s="75"/>
      <c r="O29" s="76"/>
      <c r="R29" s="95"/>
      <c r="S29" s="96"/>
      <c r="T29" s="83" t="s">
        <v>27</v>
      </c>
      <c r="U29" s="84"/>
      <c r="V29" s="84"/>
      <c r="W29" s="92"/>
      <c r="X29" s="75"/>
      <c r="Y29" s="76"/>
      <c r="Z29" s="92"/>
      <c r="AA29" s="75"/>
      <c r="AB29" s="76"/>
      <c r="AC29" s="78"/>
      <c r="AD29" s="75"/>
      <c r="AE29" s="76"/>
    </row>
    <row r="30" spans="2:31" ht="15.75" customHeight="1" x14ac:dyDescent="0.25">
      <c r="B30" s="185"/>
      <c r="C30" s="186"/>
      <c r="D30" s="89"/>
      <c r="E30" s="90"/>
      <c r="F30" s="90"/>
      <c r="G30" s="91"/>
      <c r="H30" s="73"/>
      <c r="I30" s="74"/>
      <c r="J30" s="91"/>
      <c r="K30" s="73"/>
      <c r="L30" s="74"/>
      <c r="M30" s="77"/>
      <c r="N30" s="79"/>
      <c r="O30" s="80"/>
      <c r="R30" s="185"/>
      <c r="S30" s="186"/>
      <c r="T30" s="89"/>
      <c r="U30" s="90"/>
      <c r="V30" s="90"/>
      <c r="W30" s="91"/>
      <c r="X30" s="73"/>
      <c r="Y30" s="74"/>
      <c r="Z30" s="91"/>
      <c r="AA30" s="73"/>
      <c r="AB30" s="74"/>
      <c r="AC30" s="77"/>
      <c r="AD30" s="79"/>
      <c r="AE30" s="80"/>
    </row>
    <row r="31" spans="2:31" ht="15.75" customHeight="1" thickBot="1" x14ac:dyDescent="0.3">
      <c r="B31" s="187"/>
      <c r="C31" s="188"/>
      <c r="D31" s="83"/>
      <c r="E31" s="84"/>
      <c r="F31" s="84"/>
      <c r="G31" s="92"/>
      <c r="H31" s="75"/>
      <c r="I31" s="76"/>
      <c r="J31" s="92"/>
      <c r="K31" s="75"/>
      <c r="L31" s="76"/>
      <c r="M31" s="78"/>
      <c r="N31" s="81"/>
      <c r="O31" s="82"/>
      <c r="R31" s="187"/>
      <c r="S31" s="188"/>
      <c r="T31" s="83"/>
      <c r="U31" s="84"/>
      <c r="V31" s="84"/>
      <c r="W31" s="92"/>
      <c r="X31" s="75"/>
      <c r="Y31" s="76"/>
      <c r="Z31" s="92"/>
      <c r="AA31" s="75"/>
      <c r="AB31" s="76"/>
      <c r="AC31" s="78"/>
      <c r="AD31" s="81"/>
      <c r="AE31" s="82"/>
    </row>
    <row r="32" spans="2:31" ht="15.75" customHeight="1" x14ac:dyDescent="0.25">
      <c r="B32" s="185"/>
      <c r="C32" s="186"/>
      <c r="D32" s="89"/>
      <c r="E32" s="90"/>
      <c r="F32" s="90"/>
      <c r="G32" s="91"/>
      <c r="H32" s="73"/>
      <c r="I32" s="74"/>
      <c r="J32" s="91"/>
      <c r="K32" s="73"/>
      <c r="L32" s="74"/>
      <c r="M32" s="77"/>
      <c r="N32" s="79"/>
      <c r="O32" s="80"/>
      <c r="R32" s="185"/>
      <c r="S32" s="186"/>
      <c r="T32" s="89"/>
      <c r="U32" s="90"/>
      <c r="V32" s="90"/>
      <c r="W32" s="91"/>
      <c r="X32" s="73"/>
      <c r="Y32" s="74"/>
      <c r="Z32" s="91"/>
      <c r="AA32" s="73"/>
      <c r="AB32" s="74"/>
      <c r="AC32" s="77"/>
      <c r="AD32" s="79"/>
      <c r="AE32" s="80"/>
    </row>
    <row r="33" spans="1:31" ht="15.75" customHeight="1" thickBot="1" x14ac:dyDescent="0.3">
      <c r="B33" s="187"/>
      <c r="C33" s="188"/>
      <c r="D33" s="83"/>
      <c r="E33" s="84"/>
      <c r="F33" s="84"/>
      <c r="G33" s="92"/>
      <c r="H33" s="75"/>
      <c r="I33" s="76"/>
      <c r="J33" s="92"/>
      <c r="K33" s="75"/>
      <c r="L33" s="76"/>
      <c r="M33" s="78"/>
      <c r="N33" s="81"/>
      <c r="O33" s="82"/>
      <c r="R33" s="187"/>
      <c r="S33" s="188"/>
      <c r="T33" s="83"/>
      <c r="U33" s="84"/>
      <c r="V33" s="84"/>
      <c r="W33" s="92"/>
      <c r="X33" s="75"/>
      <c r="Y33" s="76"/>
      <c r="Z33" s="92"/>
      <c r="AA33" s="75"/>
      <c r="AB33" s="76"/>
      <c r="AC33" s="78"/>
      <c r="AD33" s="81"/>
      <c r="AE33" s="82"/>
    </row>
    <row r="34" spans="1:31" ht="15.75" customHeight="1" thickBot="1" x14ac:dyDescent="0.3">
      <c r="A34" t="s">
        <v>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t="s">
        <v>0</v>
      </c>
      <c r="Q34" t="s"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95" customHeight="1" x14ac:dyDescent="0.25">
      <c r="B35" s="166" t="s">
        <v>1</v>
      </c>
      <c r="C35" s="167"/>
      <c r="D35" s="168"/>
      <c r="E35" s="172" t="s">
        <v>2</v>
      </c>
      <c r="F35" s="172"/>
      <c r="G35" s="172"/>
      <c r="H35" s="172"/>
      <c r="I35" s="172"/>
      <c r="J35" s="172"/>
      <c r="K35" s="172"/>
      <c r="L35" s="172"/>
      <c r="M35" s="172"/>
      <c r="N35" s="172"/>
      <c r="O35" s="173"/>
      <c r="R35" s="166" t="s">
        <v>1</v>
      </c>
      <c r="S35" s="167"/>
      <c r="T35" s="168"/>
      <c r="U35" s="172" t="s">
        <v>2</v>
      </c>
      <c r="V35" s="172"/>
      <c r="W35" s="172"/>
      <c r="X35" s="172"/>
      <c r="Y35" s="172"/>
      <c r="Z35" s="172"/>
      <c r="AA35" s="172"/>
      <c r="AB35" s="172"/>
      <c r="AC35" s="172"/>
      <c r="AD35" s="172"/>
      <c r="AE35" s="173"/>
    </row>
    <row r="36" spans="1:31" ht="15.95" customHeight="1" thickBot="1" x14ac:dyDescent="0.3">
      <c r="B36" s="169"/>
      <c r="C36" s="170"/>
      <c r="D36" s="171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5"/>
      <c r="R36" s="169"/>
      <c r="S36" s="170"/>
      <c r="T36" s="171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5"/>
    </row>
    <row r="37" spans="1:31" ht="21" customHeight="1" x14ac:dyDescent="0.25">
      <c r="B37" s="2"/>
      <c r="C37" s="5"/>
      <c r="D37" s="6"/>
      <c r="E37" s="176" t="s">
        <v>19</v>
      </c>
      <c r="F37" s="177"/>
      <c r="G37" s="177"/>
      <c r="H37" s="177"/>
      <c r="I37" s="177"/>
      <c r="J37" s="177"/>
      <c r="K37" s="177"/>
      <c r="L37" s="177"/>
      <c r="M37" s="177"/>
      <c r="N37" s="177"/>
      <c r="O37" s="178"/>
      <c r="R37" s="2"/>
      <c r="S37" s="5"/>
      <c r="T37" s="6"/>
      <c r="U37" s="176" t="s">
        <v>19</v>
      </c>
      <c r="V37" s="177"/>
      <c r="W37" s="177"/>
      <c r="X37" s="177"/>
      <c r="Y37" s="177"/>
      <c r="Z37" s="177"/>
      <c r="AA37" s="177"/>
      <c r="AB37" s="177"/>
      <c r="AC37" s="177"/>
      <c r="AD37" s="177"/>
      <c r="AE37" s="178"/>
    </row>
    <row r="38" spans="1:31" ht="19.5" customHeight="1" x14ac:dyDescent="0.25">
      <c r="B38" s="2"/>
      <c r="C38" s="5"/>
      <c r="D38" s="7"/>
      <c r="E38" s="179"/>
      <c r="F38" s="180"/>
      <c r="G38" s="180"/>
      <c r="H38" s="180"/>
      <c r="I38" s="180"/>
      <c r="J38" s="180"/>
      <c r="K38" s="180"/>
      <c r="L38" s="180"/>
      <c r="M38" s="180"/>
      <c r="N38" s="180"/>
      <c r="O38" s="181"/>
      <c r="R38" s="2"/>
      <c r="S38" s="5"/>
      <c r="T38" s="7"/>
      <c r="U38" s="179"/>
      <c r="V38" s="180"/>
      <c r="W38" s="180"/>
      <c r="X38" s="180"/>
      <c r="Y38" s="180"/>
      <c r="Z38" s="180"/>
      <c r="AA38" s="180"/>
      <c r="AB38" s="180"/>
      <c r="AC38" s="180"/>
      <c r="AD38" s="180"/>
      <c r="AE38" s="181"/>
    </row>
    <row r="39" spans="1:31" ht="18.95" customHeight="1" x14ac:dyDescent="0.25">
      <c r="B39" s="2"/>
      <c r="C39" s="5"/>
      <c r="D39" s="7"/>
      <c r="E39" s="179"/>
      <c r="F39" s="180"/>
      <c r="G39" s="180"/>
      <c r="H39" s="180"/>
      <c r="I39" s="180"/>
      <c r="J39" s="180"/>
      <c r="K39" s="180"/>
      <c r="L39" s="180"/>
      <c r="M39" s="180"/>
      <c r="N39" s="180"/>
      <c r="O39" s="181"/>
      <c r="R39" s="2"/>
      <c r="S39" s="5"/>
      <c r="T39" s="7"/>
      <c r="U39" s="179"/>
      <c r="V39" s="180"/>
      <c r="W39" s="180"/>
      <c r="X39" s="180"/>
      <c r="Y39" s="180"/>
      <c r="Z39" s="180"/>
      <c r="AA39" s="180"/>
      <c r="AB39" s="180"/>
      <c r="AC39" s="180"/>
      <c r="AD39" s="180"/>
      <c r="AE39" s="181"/>
    </row>
    <row r="40" spans="1:31" ht="21.75" customHeight="1" thickBot="1" x14ac:dyDescent="0.3">
      <c r="B40" s="2"/>
      <c r="C40" s="5"/>
      <c r="D40" s="7"/>
      <c r="E40" s="182"/>
      <c r="F40" s="183"/>
      <c r="G40" s="183"/>
      <c r="H40" s="183"/>
      <c r="I40" s="183"/>
      <c r="J40" s="183"/>
      <c r="K40" s="183"/>
      <c r="L40" s="183"/>
      <c r="M40" s="183"/>
      <c r="N40" s="183"/>
      <c r="O40" s="184"/>
      <c r="R40" s="2"/>
      <c r="S40" s="5"/>
      <c r="T40" s="7"/>
      <c r="U40" s="182"/>
      <c r="V40" s="183"/>
      <c r="W40" s="183"/>
      <c r="X40" s="183"/>
      <c r="Y40" s="183"/>
      <c r="Z40" s="183"/>
      <c r="AA40" s="183"/>
      <c r="AB40" s="183"/>
      <c r="AC40" s="183"/>
      <c r="AD40" s="183"/>
      <c r="AE40" s="184"/>
    </row>
    <row r="41" spans="1:31" ht="15.95" customHeight="1" thickBot="1" x14ac:dyDescent="0.3">
      <c r="B41" s="2"/>
      <c r="C41" s="5"/>
      <c r="D41" s="7"/>
      <c r="E41" s="130" t="s">
        <v>4</v>
      </c>
      <c r="F41" s="131"/>
      <c r="G41" s="152" t="s">
        <v>30</v>
      </c>
      <c r="H41" s="153"/>
      <c r="I41" s="153"/>
      <c r="J41" s="153"/>
      <c r="K41" s="153"/>
      <c r="L41" s="154"/>
      <c r="M41" s="152" t="s">
        <v>13</v>
      </c>
      <c r="N41" s="153"/>
      <c r="O41" s="154"/>
      <c r="R41" s="2"/>
      <c r="S41" s="5"/>
      <c r="T41" s="7"/>
      <c r="U41" s="130" t="s">
        <v>4</v>
      </c>
      <c r="V41" s="131"/>
      <c r="W41" s="152" t="s">
        <v>31</v>
      </c>
      <c r="X41" s="153"/>
      <c r="Y41" s="153"/>
      <c r="Z41" s="153"/>
      <c r="AA41" s="153"/>
      <c r="AB41" s="154"/>
      <c r="AC41" s="152" t="s">
        <v>13</v>
      </c>
      <c r="AD41" s="153"/>
      <c r="AE41" s="154"/>
    </row>
    <row r="42" spans="1:31" ht="15.95" customHeight="1" thickBot="1" x14ac:dyDescent="0.3">
      <c r="B42" s="2"/>
      <c r="C42" s="5"/>
      <c r="D42" s="7"/>
      <c r="E42" s="130"/>
      <c r="F42" s="131"/>
      <c r="G42" s="155"/>
      <c r="H42" s="156"/>
      <c r="I42" s="156"/>
      <c r="J42" s="156"/>
      <c r="K42" s="156"/>
      <c r="L42" s="157"/>
      <c r="M42" s="155"/>
      <c r="N42" s="156"/>
      <c r="O42" s="157"/>
      <c r="R42" s="2"/>
      <c r="S42" s="5"/>
      <c r="T42" s="7"/>
      <c r="U42" s="130"/>
      <c r="V42" s="131"/>
      <c r="W42" s="155"/>
      <c r="X42" s="156"/>
      <c r="Y42" s="156"/>
      <c r="Z42" s="156"/>
      <c r="AA42" s="156"/>
      <c r="AB42" s="157"/>
      <c r="AC42" s="155"/>
      <c r="AD42" s="156"/>
      <c r="AE42" s="157"/>
    </row>
    <row r="43" spans="1:31" ht="15.95" customHeight="1" thickBot="1" x14ac:dyDescent="0.3">
      <c r="B43" s="2"/>
      <c r="C43" s="5"/>
      <c r="D43" s="7"/>
      <c r="E43" s="130" t="s">
        <v>3</v>
      </c>
      <c r="F43" s="131"/>
      <c r="G43" s="146" t="s">
        <v>20</v>
      </c>
      <c r="H43" s="147"/>
      <c r="I43" s="148"/>
      <c r="J43" s="146" t="s">
        <v>21</v>
      </c>
      <c r="K43" s="147"/>
      <c r="L43" s="148"/>
      <c r="M43" s="152" t="s">
        <v>13</v>
      </c>
      <c r="N43" s="153"/>
      <c r="O43" s="154"/>
      <c r="R43" s="2"/>
      <c r="S43" s="5"/>
      <c r="T43" s="7"/>
      <c r="U43" s="130" t="s">
        <v>3</v>
      </c>
      <c r="V43" s="131"/>
      <c r="W43" s="146" t="s">
        <v>20</v>
      </c>
      <c r="X43" s="147"/>
      <c r="Y43" s="148"/>
      <c r="Z43" s="146" t="s">
        <v>21</v>
      </c>
      <c r="AA43" s="147"/>
      <c r="AB43" s="148"/>
      <c r="AC43" s="152" t="s">
        <v>13</v>
      </c>
      <c r="AD43" s="153"/>
      <c r="AE43" s="154"/>
    </row>
    <row r="44" spans="1:31" ht="15.95" customHeight="1" thickBot="1" x14ac:dyDescent="0.3">
      <c r="B44" s="2"/>
      <c r="C44" s="5"/>
      <c r="D44" s="7"/>
      <c r="E44" s="130"/>
      <c r="F44" s="131"/>
      <c r="G44" s="149"/>
      <c r="H44" s="150"/>
      <c r="I44" s="151"/>
      <c r="J44" s="149"/>
      <c r="K44" s="150"/>
      <c r="L44" s="151"/>
      <c r="M44" s="155"/>
      <c r="N44" s="156"/>
      <c r="O44" s="157"/>
      <c r="R44" s="2"/>
      <c r="S44" s="5"/>
      <c r="T44" s="7"/>
      <c r="U44" s="130"/>
      <c r="V44" s="131"/>
      <c r="W44" s="149"/>
      <c r="X44" s="150"/>
      <c r="Y44" s="151"/>
      <c r="Z44" s="149"/>
      <c r="AA44" s="150"/>
      <c r="AB44" s="151"/>
      <c r="AC44" s="155"/>
      <c r="AD44" s="156"/>
      <c r="AE44" s="157"/>
    </row>
    <row r="45" spans="1:31" ht="15.95" customHeight="1" thickBot="1" x14ac:dyDescent="0.3">
      <c r="B45" s="2"/>
      <c r="C45" s="5"/>
      <c r="D45" s="7"/>
      <c r="E45" s="158" t="s">
        <v>5</v>
      </c>
      <c r="F45" s="159"/>
      <c r="G45" s="160" t="s">
        <v>38</v>
      </c>
      <c r="H45" s="161"/>
      <c r="I45" s="162"/>
      <c r="J45" s="160" t="s">
        <v>39</v>
      </c>
      <c r="K45" s="161"/>
      <c r="L45" s="162"/>
      <c r="M45" s="160" t="s">
        <v>13</v>
      </c>
      <c r="N45" s="161"/>
      <c r="O45" s="162"/>
      <c r="R45" s="2"/>
      <c r="S45" s="5"/>
      <c r="T45" s="7"/>
      <c r="U45" s="158" t="s">
        <v>5</v>
      </c>
      <c r="V45" s="159"/>
      <c r="W45" s="160" t="s">
        <v>41</v>
      </c>
      <c r="X45" s="161"/>
      <c r="Y45" s="162"/>
      <c r="Z45" s="160" t="s">
        <v>40</v>
      </c>
      <c r="AA45" s="161"/>
      <c r="AB45" s="162"/>
      <c r="AC45" s="160" t="s">
        <v>13</v>
      </c>
      <c r="AD45" s="161"/>
      <c r="AE45" s="162"/>
    </row>
    <row r="46" spans="1:31" ht="15.95" customHeight="1" thickBot="1" x14ac:dyDescent="0.3">
      <c r="B46" s="2"/>
      <c r="C46" s="5"/>
      <c r="D46" s="7"/>
      <c r="E46" s="158"/>
      <c r="F46" s="159"/>
      <c r="G46" s="163"/>
      <c r="H46" s="164"/>
      <c r="I46" s="165"/>
      <c r="J46" s="163"/>
      <c r="K46" s="164"/>
      <c r="L46" s="165"/>
      <c r="M46" s="163"/>
      <c r="N46" s="164"/>
      <c r="O46" s="165"/>
      <c r="R46" s="2"/>
      <c r="S46" s="5"/>
      <c r="T46" s="7"/>
      <c r="U46" s="158"/>
      <c r="V46" s="159"/>
      <c r="W46" s="163"/>
      <c r="X46" s="164"/>
      <c r="Y46" s="165"/>
      <c r="Z46" s="163"/>
      <c r="AA46" s="164"/>
      <c r="AB46" s="165"/>
      <c r="AC46" s="163"/>
      <c r="AD46" s="164"/>
      <c r="AE46" s="165"/>
    </row>
    <row r="47" spans="1:31" ht="15.95" customHeight="1" thickBot="1" x14ac:dyDescent="0.3">
      <c r="B47" s="2"/>
      <c r="C47" s="5"/>
      <c r="D47" s="7"/>
      <c r="E47" s="130" t="s">
        <v>18</v>
      </c>
      <c r="F47" s="131"/>
      <c r="G47" s="142">
        <f>59*110%</f>
        <v>64.900000000000006</v>
      </c>
      <c r="H47" s="143"/>
      <c r="I47" s="128" t="s">
        <v>6</v>
      </c>
      <c r="J47" s="142">
        <f>50*110%</f>
        <v>55.000000000000007</v>
      </c>
      <c r="K47" s="143"/>
      <c r="L47" s="128" t="s">
        <v>6</v>
      </c>
      <c r="M47" s="113"/>
      <c r="N47" s="113"/>
      <c r="O47" s="128" t="s">
        <v>6</v>
      </c>
      <c r="R47" s="2"/>
      <c r="S47" s="5"/>
      <c r="T47" s="7"/>
      <c r="U47" s="130" t="s">
        <v>18</v>
      </c>
      <c r="V47" s="131"/>
      <c r="W47" s="142">
        <f>68*110%</f>
        <v>74.800000000000011</v>
      </c>
      <c r="X47" s="143"/>
      <c r="Y47" s="128" t="s">
        <v>6</v>
      </c>
      <c r="Z47" s="142">
        <f>58*110%</f>
        <v>63.800000000000004</v>
      </c>
      <c r="AA47" s="143"/>
      <c r="AB47" s="128" t="s">
        <v>6</v>
      </c>
      <c r="AC47" s="113"/>
      <c r="AD47" s="113"/>
      <c r="AE47" s="128" t="s">
        <v>6</v>
      </c>
    </row>
    <row r="48" spans="1:31" ht="15.95" customHeight="1" thickBot="1" x14ac:dyDescent="0.3">
      <c r="B48" s="2"/>
      <c r="C48" s="5"/>
      <c r="D48" s="7"/>
      <c r="E48" s="130"/>
      <c r="F48" s="131"/>
      <c r="G48" s="144"/>
      <c r="H48" s="145"/>
      <c r="I48" s="129"/>
      <c r="J48" s="144"/>
      <c r="K48" s="145"/>
      <c r="L48" s="129"/>
      <c r="M48" s="114"/>
      <c r="N48" s="114"/>
      <c r="O48" s="129"/>
      <c r="R48" s="2"/>
      <c r="S48" s="5"/>
      <c r="T48" s="7"/>
      <c r="U48" s="130"/>
      <c r="V48" s="131"/>
      <c r="W48" s="144"/>
      <c r="X48" s="145"/>
      <c r="Y48" s="129"/>
      <c r="Z48" s="144"/>
      <c r="AA48" s="145"/>
      <c r="AB48" s="129"/>
      <c r="AC48" s="114"/>
      <c r="AD48" s="114"/>
      <c r="AE48" s="129"/>
    </row>
    <row r="49" spans="2:31" ht="15.95" customHeight="1" thickBot="1" x14ac:dyDescent="0.3">
      <c r="B49" s="2"/>
      <c r="C49" s="5"/>
      <c r="D49" s="7"/>
      <c r="E49" s="130" t="s">
        <v>7</v>
      </c>
      <c r="F49" s="131"/>
      <c r="G49" s="132">
        <v>1.6666666666666668E-3</v>
      </c>
      <c r="H49" s="133"/>
      <c r="I49" s="136" t="s">
        <v>8</v>
      </c>
      <c r="J49" s="132">
        <v>1.3888888888888889E-3</v>
      </c>
      <c r="K49" s="133"/>
      <c r="L49" s="136" t="s">
        <v>8</v>
      </c>
      <c r="M49" s="138"/>
      <c r="N49" s="139"/>
      <c r="O49" s="136" t="s">
        <v>8</v>
      </c>
      <c r="R49" s="2"/>
      <c r="S49" s="5"/>
      <c r="T49" s="7"/>
      <c r="U49" s="130" t="s">
        <v>7</v>
      </c>
      <c r="V49" s="131"/>
      <c r="W49" s="132">
        <v>1.724537037037037E-3</v>
      </c>
      <c r="X49" s="133"/>
      <c r="Y49" s="136" t="s">
        <v>8</v>
      </c>
      <c r="Z49" s="132">
        <v>1.4351851851851852E-3</v>
      </c>
      <c r="AA49" s="133"/>
      <c r="AB49" s="136" t="s">
        <v>8</v>
      </c>
      <c r="AC49" s="138"/>
      <c r="AD49" s="139"/>
      <c r="AE49" s="136" t="s">
        <v>8</v>
      </c>
    </row>
    <row r="50" spans="2:31" ht="15.95" customHeight="1" thickBot="1" x14ac:dyDescent="0.3">
      <c r="B50" s="3"/>
      <c r="C50" s="4"/>
      <c r="D50" s="8"/>
      <c r="E50" s="130"/>
      <c r="F50" s="131"/>
      <c r="G50" s="134"/>
      <c r="H50" s="135"/>
      <c r="I50" s="137"/>
      <c r="J50" s="134"/>
      <c r="K50" s="135"/>
      <c r="L50" s="137"/>
      <c r="M50" s="140"/>
      <c r="N50" s="141"/>
      <c r="O50" s="137"/>
      <c r="R50" s="3"/>
      <c r="S50" s="4"/>
      <c r="T50" s="8"/>
      <c r="U50" s="130"/>
      <c r="V50" s="131"/>
      <c r="W50" s="134"/>
      <c r="X50" s="135"/>
      <c r="Y50" s="137"/>
      <c r="Z50" s="134"/>
      <c r="AA50" s="135"/>
      <c r="AB50" s="137"/>
      <c r="AC50" s="140"/>
      <c r="AD50" s="141"/>
      <c r="AE50" s="137"/>
    </row>
    <row r="51" spans="2:31" ht="15.95" customHeight="1" x14ac:dyDescent="0.25">
      <c r="B51" s="97" t="s">
        <v>12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9"/>
      <c r="R51" s="97" t="s">
        <v>12</v>
      </c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9"/>
    </row>
    <row r="52" spans="2:31" ht="15.95" customHeight="1" thickBot="1" x14ac:dyDescent="0.3"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2"/>
      <c r="R52" s="100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2"/>
    </row>
    <row r="53" spans="2:31" ht="9.75" customHeight="1" x14ac:dyDescent="0.25">
      <c r="B53" s="103" t="s">
        <v>15</v>
      </c>
      <c r="C53" s="104"/>
      <c r="D53" s="104"/>
      <c r="E53" s="104"/>
      <c r="F53" s="104"/>
      <c r="G53" s="107" t="s">
        <v>29</v>
      </c>
      <c r="H53" s="108"/>
      <c r="I53" s="108"/>
      <c r="J53" s="108"/>
      <c r="K53" s="108"/>
      <c r="L53" s="109"/>
      <c r="M53" s="107"/>
      <c r="N53" s="108"/>
      <c r="O53" s="109"/>
      <c r="R53" s="103" t="s">
        <v>15</v>
      </c>
      <c r="S53" s="104"/>
      <c r="T53" s="104"/>
      <c r="U53" s="104"/>
      <c r="V53" s="104"/>
      <c r="W53" s="107" t="s">
        <v>29</v>
      </c>
      <c r="X53" s="108"/>
      <c r="Y53" s="108"/>
      <c r="Z53" s="108"/>
      <c r="AA53" s="108"/>
      <c r="AB53" s="109"/>
      <c r="AC53" s="107"/>
      <c r="AD53" s="108"/>
      <c r="AE53" s="109"/>
    </row>
    <row r="54" spans="2:31" ht="18.75" customHeight="1" thickBot="1" x14ac:dyDescent="0.3">
      <c r="B54" s="105"/>
      <c r="C54" s="106"/>
      <c r="D54" s="106"/>
      <c r="E54" s="106"/>
      <c r="F54" s="106"/>
      <c r="G54" s="110"/>
      <c r="H54" s="111"/>
      <c r="I54" s="111"/>
      <c r="J54" s="111"/>
      <c r="K54" s="111"/>
      <c r="L54" s="112"/>
      <c r="M54" s="110"/>
      <c r="N54" s="111"/>
      <c r="O54" s="112"/>
      <c r="R54" s="105"/>
      <c r="S54" s="106"/>
      <c r="T54" s="106"/>
      <c r="U54" s="106"/>
      <c r="V54" s="106"/>
      <c r="W54" s="110"/>
      <c r="X54" s="111"/>
      <c r="Y54" s="111"/>
      <c r="Z54" s="111"/>
      <c r="AA54" s="111"/>
      <c r="AB54" s="112"/>
      <c r="AC54" s="110"/>
      <c r="AD54" s="111"/>
      <c r="AE54" s="112"/>
    </row>
    <row r="55" spans="2:31" ht="10.5" customHeight="1" x14ac:dyDescent="0.25">
      <c r="B55" s="122" t="s">
        <v>11</v>
      </c>
      <c r="C55" s="123"/>
      <c r="D55" s="126" t="s">
        <v>9</v>
      </c>
      <c r="E55" s="126"/>
      <c r="F55" s="126"/>
      <c r="G55" s="119" t="s">
        <v>16</v>
      </c>
      <c r="H55" s="115" t="s">
        <v>14</v>
      </c>
      <c r="I55" s="116"/>
      <c r="J55" s="119" t="s">
        <v>16</v>
      </c>
      <c r="K55" s="115" t="s">
        <v>14</v>
      </c>
      <c r="L55" s="116"/>
      <c r="M55" s="119"/>
      <c r="N55" s="115"/>
      <c r="O55" s="116"/>
      <c r="R55" s="122" t="s">
        <v>11</v>
      </c>
      <c r="S55" s="123"/>
      <c r="T55" s="126" t="s">
        <v>9</v>
      </c>
      <c r="U55" s="126"/>
      <c r="V55" s="126"/>
      <c r="W55" s="119" t="s">
        <v>16</v>
      </c>
      <c r="X55" s="115" t="s">
        <v>14</v>
      </c>
      <c r="Y55" s="116"/>
      <c r="Z55" s="119" t="s">
        <v>16</v>
      </c>
      <c r="AA55" s="115" t="s">
        <v>14</v>
      </c>
      <c r="AB55" s="116"/>
      <c r="AC55" s="119"/>
      <c r="AD55" s="115"/>
      <c r="AE55" s="116"/>
    </row>
    <row r="56" spans="2:31" ht="15.95" customHeight="1" thickBot="1" x14ac:dyDescent="0.3">
      <c r="B56" s="124"/>
      <c r="C56" s="125"/>
      <c r="D56" s="127"/>
      <c r="E56" s="127"/>
      <c r="F56" s="127"/>
      <c r="G56" s="120"/>
      <c r="H56" s="117"/>
      <c r="I56" s="118"/>
      <c r="J56" s="120"/>
      <c r="K56" s="117"/>
      <c r="L56" s="118"/>
      <c r="M56" s="120"/>
      <c r="N56" s="117"/>
      <c r="O56" s="118"/>
      <c r="R56" s="124"/>
      <c r="S56" s="125"/>
      <c r="T56" s="127"/>
      <c r="U56" s="127"/>
      <c r="V56" s="127"/>
      <c r="W56" s="120"/>
      <c r="X56" s="117"/>
      <c r="Y56" s="118"/>
      <c r="Z56" s="120"/>
      <c r="AA56" s="117"/>
      <c r="AB56" s="118"/>
      <c r="AC56" s="120"/>
      <c r="AD56" s="117"/>
      <c r="AE56" s="118"/>
    </row>
    <row r="57" spans="2:31" ht="15.95" customHeight="1" x14ac:dyDescent="0.25">
      <c r="B57" s="93">
        <v>0.40150000000000002</v>
      </c>
      <c r="C57" s="94"/>
      <c r="D57" s="89" t="s">
        <v>22</v>
      </c>
      <c r="E57" s="90"/>
      <c r="F57" s="121"/>
      <c r="G57" s="91">
        <v>2</v>
      </c>
      <c r="H57" s="79" t="s">
        <v>10</v>
      </c>
      <c r="I57" s="80"/>
      <c r="J57" s="91">
        <v>2</v>
      </c>
      <c r="K57" s="79" t="s">
        <v>10</v>
      </c>
      <c r="L57" s="80"/>
      <c r="M57" s="77"/>
      <c r="N57" s="73"/>
      <c r="O57" s="74"/>
      <c r="R57" s="93">
        <v>0.40150000000000002</v>
      </c>
      <c r="S57" s="94"/>
      <c r="T57" s="89" t="s">
        <v>22</v>
      </c>
      <c r="U57" s="90"/>
      <c r="V57" s="121"/>
      <c r="W57" s="91">
        <v>2</v>
      </c>
      <c r="X57" s="79" t="s">
        <v>10</v>
      </c>
      <c r="Y57" s="80"/>
      <c r="Z57" s="91">
        <v>2</v>
      </c>
      <c r="AA57" s="79" t="s">
        <v>10</v>
      </c>
      <c r="AB57" s="80"/>
      <c r="AC57" s="77"/>
      <c r="AD57" s="73"/>
      <c r="AE57" s="74"/>
    </row>
    <row r="58" spans="2:31" ht="15.95" customHeight="1" thickBot="1" x14ac:dyDescent="0.3">
      <c r="B58" s="95"/>
      <c r="C58" s="96"/>
      <c r="D58" s="83" t="s">
        <v>23</v>
      </c>
      <c r="E58" s="84"/>
      <c r="F58" s="84"/>
      <c r="G58" s="92"/>
      <c r="H58" s="81"/>
      <c r="I58" s="82"/>
      <c r="J58" s="92"/>
      <c r="K58" s="81"/>
      <c r="L58" s="82"/>
      <c r="M58" s="78"/>
      <c r="N58" s="75"/>
      <c r="O58" s="76"/>
      <c r="R58" s="95"/>
      <c r="S58" s="96"/>
      <c r="T58" s="83" t="s">
        <v>23</v>
      </c>
      <c r="U58" s="84"/>
      <c r="V58" s="84"/>
      <c r="W58" s="92"/>
      <c r="X58" s="81"/>
      <c r="Y58" s="82"/>
      <c r="Z58" s="92"/>
      <c r="AA58" s="81"/>
      <c r="AB58" s="82"/>
      <c r="AC58" s="78"/>
      <c r="AD58" s="75"/>
      <c r="AE58" s="76"/>
    </row>
    <row r="59" spans="2:31" ht="15.95" customHeight="1" x14ac:dyDescent="0.25">
      <c r="B59" s="93">
        <v>3.5000000000000001E-3</v>
      </c>
      <c r="C59" s="94"/>
      <c r="D59" s="89" t="s">
        <v>24</v>
      </c>
      <c r="E59" s="90"/>
      <c r="F59" s="90"/>
      <c r="G59" s="91"/>
      <c r="H59" s="73"/>
      <c r="I59" s="74"/>
      <c r="J59" s="91">
        <v>3</v>
      </c>
      <c r="K59" s="73" t="s">
        <v>25</v>
      </c>
      <c r="L59" s="74"/>
      <c r="M59" s="77"/>
      <c r="N59" s="73"/>
      <c r="O59" s="74"/>
      <c r="R59" s="93">
        <v>3.5000000000000001E-3</v>
      </c>
      <c r="S59" s="94"/>
      <c r="T59" s="89" t="s">
        <v>24</v>
      </c>
      <c r="U59" s="90"/>
      <c r="V59" s="90"/>
      <c r="W59" s="91"/>
      <c r="X59" s="73"/>
      <c r="Y59" s="74"/>
      <c r="Z59" s="91">
        <v>3</v>
      </c>
      <c r="AA59" s="73" t="s">
        <v>25</v>
      </c>
      <c r="AB59" s="74"/>
      <c r="AC59" s="77"/>
      <c r="AD59" s="73"/>
      <c r="AE59" s="74"/>
    </row>
    <row r="60" spans="2:31" ht="15.95" customHeight="1" thickBot="1" x14ac:dyDescent="0.3">
      <c r="B60" s="95"/>
      <c r="C60" s="96"/>
      <c r="D60" s="83">
        <v>40</v>
      </c>
      <c r="E60" s="84"/>
      <c r="F60" s="84"/>
      <c r="G60" s="92"/>
      <c r="H60" s="75"/>
      <c r="I60" s="76"/>
      <c r="J60" s="92"/>
      <c r="K60" s="75"/>
      <c r="L60" s="76"/>
      <c r="M60" s="78"/>
      <c r="N60" s="75"/>
      <c r="O60" s="76"/>
      <c r="R60" s="95"/>
      <c r="S60" s="96"/>
      <c r="T60" s="83">
        <v>40</v>
      </c>
      <c r="U60" s="84"/>
      <c r="V60" s="84"/>
      <c r="W60" s="92"/>
      <c r="X60" s="75"/>
      <c r="Y60" s="76"/>
      <c r="Z60" s="92"/>
      <c r="AA60" s="75"/>
      <c r="AB60" s="76"/>
      <c r="AC60" s="78"/>
      <c r="AD60" s="75"/>
      <c r="AE60" s="76"/>
    </row>
    <row r="61" spans="2:31" ht="15.95" customHeight="1" x14ac:dyDescent="0.25">
      <c r="B61" s="93">
        <v>0.59499999999999997</v>
      </c>
      <c r="C61" s="94"/>
      <c r="D61" s="89" t="s">
        <v>26</v>
      </c>
      <c r="E61" s="90"/>
      <c r="F61" s="90"/>
      <c r="G61" s="91">
        <v>6</v>
      </c>
      <c r="H61" s="73" t="s">
        <v>10</v>
      </c>
      <c r="I61" s="74"/>
      <c r="J61" s="91">
        <v>6</v>
      </c>
      <c r="K61" s="73" t="s">
        <v>10</v>
      </c>
      <c r="L61" s="74"/>
      <c r="M61" s="77"/>
      <c r="N61" s="73"/>
      <c r="O61" s="74"/>
      <c r="R61" s="93">
        <v>0.59499999999999997</v>
      </c>
      <c r="S61" s="94"/>
      <c r="T61" s="89" t="s">
        <v>26</v>
      </c>
      <c r="U61" s="90"/>
      <c r="V61" s="90"/>
      <c r="W61" s="91">
        <v>6</v>
      </c>
      <c r="X61" s="73" t="s">
        <v>10</v>
      </c>
      <c r="Y61" s="74"/>
      <c r="Z61" s="91">
        <v>6</v>
      </c>
      <c r="AA61" s="73" t="s">
        <v>10</v>
      </c>
      <c r="AB61" s="74"/>
      <c r="AC61" s="77"/>
      <c r="AD61" s="73"/>
      <c r="AE61" s="74"/>
    </row>
    <row r="62" spans="2:31" ht="15.95" customHeight="1" thickBot="1" x14ac:dyDescent="0.3">
      <c r="B62" s="95"/>
      <c r="C62" s="96"/>
      <c r="D62" s="83" t="s">
        <v>27</v>
      </c>
      <c r="E62" s="84"/>
      <c r="F62" s="84"/>
      <c r="G62" s="92"/>
      <c r="H62" s="75"/>
      <c r="I62" s="76"/>
      <c r="J62" s="92"/>
      <c r="K62" s="75"/>
      <c r="L62" s="76"/>
      <c r="M62" s="78"/>
      <c r="N62" s="75"/>
      <c r="O62" s="76"/>
      <c r="R62" s="95"/>
      <c r="S62" s="96"/>
      <c r="T62" s="83" t="s">
        <v>27</v>
      </c>
      <c r="U62" s="84"/>
      <c r="V62" s="84"/>
      <c r="W62" s="92"/>
      <c r="X62" s="75"/>
      <c r="Y62" s="76"/>
      <c r="Z62" s="92"/>
      <c r="AA62" s="75"/>
      <c r="AB62" s="76"/>
      <c r="AC62" s="78"/>
      <c r="AD62" s="75"/>
      <c r="AE62" s="76"/>
    </row>
    <row r="63" spans="2:31" ht="15.75" customHeight="1" x14ac:dyDescent="0.25">
      <c r="B63" s="85"/>
      <c r="C63" s="86"/>
      <c r="D63" s="89"/>
      <c r="E63" s="90"/>
      <c r="F63" s="90"/>
      <c r="G63" s="91"/>
      <c r="H63" s="73"/>
      <c r="I63" s="74"/>
      <c r="J63" s="91"/>
      <c r="K63" s="73"/>
      <c r="L63" s="74"/>
      <c r="M63" s="77"/>
      <c r="N63" s="79"/>
      <c r="O63" s="80"/>
      <c r="R63" s="85"/>
      <c r="S63" s="86"/>
      <c r="T63" s="89"/>
      <c r="U63" s="90"/>
      <c r="V63" s="90"/>
      <c r="W63" s="91"/>
      <c r="X63" s="73"/>
      <c r="Y63" s="74"/>
      <c r="Z63" s="91"/>
      <c r="AA63" s="73"/>
      <c r="AB63" s="74"/>
      <c r="AC63" s="77"/>
      <c r="AD63" s="79"/>
      <c r="AE63" s="80"/>
    </row>
    <row r="64" spans="2:31" ht="15.75" customHeight="1" thickBot="1" x14ac:dyDescent="0.3">
      <c r="B64" s="87"/>
      <c r="C64" s="88"/>
      <c r="D64" s="83"/>
      <c r="E64" s="84"/>
      <c r="F64" s="84"/>
      <c r="G64" s="92"/>
      <c r="H64" s="75"/>
      <c r="I64" s="76"/>
      <c r="J64" s="92"/>
      <c r="K64" s="75"/>
      <c r="L64" s="76"/>
      <c r="M64" s="78"/>
      <c r="N64" s="81"/>
      <c r="O64" s="82"/>
      <c r="R64" s="87"/>
      <c r="S64" s="88"/>
      <c r="T64" s="83"/>
      <c r="U64" s="84"/>
      <c r="V64" s="84"/>
      <c r="W64" s="92"/>
      <c r="X64" s="75"/>
      <c r="Y64" s="76"/>
      <c r="Z64" s="92"/>
      <c r="AA64" s="75"/>
      <c r="AB64" s="76"/>
      <c r="AC64" s="78"/>
      <c r="AD64" s="81"/>
      <c r="AE64" s="82"/>
    </row>
    <row r="65" spans="2:31" ht="15.75" customHeight="1" x14ac:dyDescent="0.25">
      <c r="B65" s="85"/>
      <c r="C65" s="86"/>
      <c r="D65" s="89"/>
      <c r="E65" s="90"/>
      <c r="F65" s="90"/>
      <c r="G65" s="91"/>
      <c r="H65" s="73"/>
      <c r="I65" s="74"/>
      <c r="J65" s="91"/>
      <c r="K65" s="73"/>
      <c r="L65" s="74"/>
      <c r="M65" s="77"/>
      <c r="N65" s="79"/>
      <c r="O65" s="80"/>
      <c r="R65" s="85"/>
      <c r="S65" s="86"/>
      <c r="T65" s="89"/>
      <c r="U65" s="90"/>
      <c r="V65" s="90"/>
      <c r="W65" s="91"/>
      <c r="X65" s="73"/>
      <c r="Y65" s="74"/>
      <c r="Z65" s="91"/>
      <c r="AA65" s="73"/>
      <c r="AB65" s="74"/>
      <c r="AC65" s="77"/>
      <c r="AD65" s="79"/>
      <c r="AE65" s="80"/>
    </row>
    <row r="66" spans="2:31" ht="15.75" customHeight="1" thickBot="1" x14ac:dyDescent="0.3">
      <c r="B66" s="87"/>
      <c r="C66" s="88"/>
      <c r="D66" s="83"/>
      <c r="E66" s="84"/>
      <c r="F66" s="84"/>
      <c r="G66" s="92"/>
      <c r="H66" s="75"/>
      <c r="I66" s="76"/>
      <c r="J66" s="92"/>
      <c r="K66" s="75"/>
      <c r="L66" s="76"/>
      <c r="M66" s="78"/>
      <c r="N66" s="81"/>
      <c r="O66" s="82"/>
      <c r="R66" s="87"/>
      <c r="S66" s="88"/>
      <c r="T66" s="83"/>
      <c r="U66" s="84"/>
      <c r="V66" s="84"/>
      <c r="W66" s="92"/>
      <c r="X66" s="75"/>
      <c r="Y66" s="76"/>
      <c r="Z66" s="92"/>
      <c r="AA66" s="75"/>
      <c r="AB66" s="76"/>
      <c r="AC66" s="78"/>
      <c r="AD66" s="81"/>
      <c r="AE66" s="82"/>
    </row>
    <row r="67" spans="2:31" ht="15.75" customHeight="1" x14ac:dyDescent="0.25"/>
    <row r="68" spans="2:31" ht="15.75" customHeight="1" x14ac:dyDescent="0.25"/>
    <row r="69" spans="2:31" ht="15.75" customHeight="1" x14ac:dyDescent="0.25"/>
    <row r="70" spans="2:31" ht="15.75" customHeight="1" x14ac:dyDescent="0.25"/>
    <row r="71" spans="2:31" ht="15.75" customHeight="1" x14ac:dyDescent="0.25"/>
    <row r="72" spans="2:31" ht="15.75" customHeight="1" x14ac:dyDescent="0.25"/>
    <row r="73" spans="2:31" ht="15.75" customHeight="1" x14ac:dyDescent="0.25"/>
    <row r="74" spans="2:31" ht="15.75" customHeight="1" x14ac:dyDescent="0.25"/>
    <row r="75" spans="2:31" ht="15.75" customHeight="1" x14ac:dyDescent="0.25"/>
    <row r="76" spans="2:31" ht="15.75" customHeight="1" x14ac:dyDescent="0.25"/>
    <row r="77" spans="2:31" ht="15.75" customHeight="1" x14ac:dyDescent="0.25"/>
    <row r="78" spans="2:31" ht="15.75" customHeight="1" x14ac:dyDescent="0.25"/>
    <row r="79" spans="2:31" ht="15.75" customHeight="1" x14ac:dyDescent="0.25"/>
    <row r="80" spans="2:3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</sheetData>
  <mergeCells count="340">
    <mergeCell ref="B28:C29"/>
    <mergeCell ref="B30:C31"/>
    <mergeCell ref="M30:M31"/>
    <mergeCell ref="N30:O31"/>
    <mergeCell ref="D31:F31"/>
    <mergeCell ref="D26:F26"/>
    <mergeCell ref="G26:G27"/>
    <mergeCell ref="H26:I27"/>
    <mergeCell ref="G28:G29"/>
    <mergeCell ref="H28:I29"/>
    <mergeCell ref="B2:D3"/>
    <mergeCell ref="B20:F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22:C23"/>
    <mergeCell ref="B24:C25"/>
    <mergeCell ref="D24:F24"/>
    <mergeCell ref="B26:C27"/>
    <mergeCell ref="D27:F27"/>
    <mergeCell ref="L14:L15"/>
    <mergeCell ref="G8:L9"/>
    <mergeCell ref="M32:M33"/>
    <mergeCell ref="N32:O33"/>
    <mergeCell ref="G16:H17"/>
    <mergeCell ref="J16:K17"/>
    <mergeCell ref="E16:F17"/>
    <mergeCell ref="I16:I17"/>
    <mergeCell ref="M20:O21"/>
    <mergeCell ref="D22:F23"/>
    <mergeCell ref="K26:L27"/>
    <mergeCell ref="M26:M27"/>
    <mergeCell ref="N26:O27"/>
    <mergeCell ref="K28:L29"/>
    <mergeCell ref="G30:G31"/>
    <mergeCell ref="H30:I31"/>
    <mergeCell ref="J30:J31"/>
    <mergeCell ref="K30:L31"/>
    <mergeCell ref="D30:F30"/>
    <mergeCell ref="D28:F28"/>
    <mergeCell ref="D29:F29"/>
    <mergeCell ref="G20:L21"/>
    <mergeCell ref="J47:K48"/>
    <mergeCell ref="L47:L48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12:I13"/>
    <mergeCell ref="J12:L13"/>
    <mergeCell ref="G14:H15"/>
    <mergeCell ref="J14:K15"/>
    <mergeCell ref="M14:N15"/>
    <mergeCell ref="M12:O13"/>
    <mergeCell ref="M8:O9"/>
    <mergeCell ref="G10:I11"/>
    <mergeCell ref="J10:L11"/>
    <mergeCell ref="O14:O15"/>
    <mergeCell ref="N61:O62"/>
    <mergeCell ref="D62:F62"/>
    <mergeCell ref="B59:C60"/>
    <mergeCell ref="D59:F59"/>
    <mergeCell ref="G59:G60"/>
    <mergeCell ref="H59:I60"/>
    <mergeCell ref="J59:J60"/>
    <mergeCell ref="K55:L56"/>
    <mergeCell ref="M55:M56"/>
    <mergeCell ref="N55:O56"/>
    <mergeCell ref="B57:C58"/>
    <mergeCell ref="D57:F57"/>
    <mergeCell ref="G57:G58"/>
    <mergeCell ref="H57:I58"/>
    <mergeCell ref="J57:J58"/>
    <mergeCell ref="K57:L58"/>
    <mergeCell ref="M57:M58"/>
    <mergeCell ref="N57:O58"/>
    <mergeCell ref="D58:F58"/>
    <mergeCell ref="B55:C56"/>
    <mergeCell ref="D55:F56"/>
    <mergeCell ref="G55:G56"/>
    <mergeCell ref="H55:I56"/>
    <mergeCell ref="J55:J56"/>
    <mergeCell ref="U10:V11"/>
    <mergeCell ref="W10:Y11"/>
    <mergeCell ref="Z10:AB11"/>
    <mergeCell ref="AC10:AE11"/>
    <mergeCell ref="U12:V13"/>
    <mergeCell ref="W12:Y13"/>
    <mergeCell ref="Z12:AB13"/>
    <mergeCell ref="AC12:AE13"/>
    <mergeCell ref="R2:T3"/>
    <mergeCell ref="U2:AE3"/>
    <mergeCell ref="U4:AE7"/>
    <mergeCell ref="U8:V9"/>
    <mergeCell ref="W8:AB9"/>
    <mergeCell ref="AC8:AE9"/>
    <mergeCell ref="AC14:AD15"/>
    <mergeCell ref="AE14:AE15"/>
    <mergeCell ref="U16:V17"/>
    <mergeCell ref="W16:X17"/>
    <mergeCell ref="Y16:Y17"/>
    <mergeCell ref="Z16:AA17"/>
    <mergeCell ref="AB16:AB17"/>
    <mergeCell ref="AC16:AD17"/>
    <mergeCell ref="AE16:AE17"/>
    <mergeCell ref="U14:V15"/>
    <mergeCell ref="W14:X15"/>
    <mergeCell ref="Y14:Y15"/>
    <mergeCell ref="Z14:AA15"/>
    <mergeCell ref="AB14:AB15"/>
    <mergeCell ref="AD24:AE25"/>
    <mergeCell ref="T25:V25"/>
    <mergeCell ref="R22:S23"/>
    <mergeCell ref="T22:V23"/>
    <mergeCell ref="W22:W23"/>
    <mergeCell ref="X22:Y23"/>
    <mergeCell ref="Z22:Z23"/>
    <mergeCell ref="R18:AE19"/>
    <mergeCell ref="R20:V21"/>
    <mergeCell ref="AC20:AE21"/>
    <mergeCell ref="W20:AB21"/>
    <mergeCell ref="D64:F64"/>
    <mergeCell ref="B63:C64"/>
    <mergeCell ref="D63:F63"/>
    <mergeCell ref="G63:G64"/>
    <mergeCell ref="H63:I64"/>
    <mergeCell ref="J63:J64"/>
    <mergeCell ref="X28:Y29"/>
    <mergeCell ref="Z28:Z29"/>
    <mergeCell ref="AA28:AB29"/>
    <mergeCell ref="T29:V29"/>
    <mergeCell ref="R28:S29"/>
    <mergeCell ref="T28:V28"/>
    <mergeCell ref="W28:W29"/>
    <mergeCell ref="K59:L60"/>
    <mergeCell ref="M59:M60"/>
    <mergeCell ref="N59:O60"/>
    <mergeCell ref="D60:F60"/>
    <mergeCell ref="B61:C62"/>
    <mergeCell ref="D61:F61"/>
    <mergeCell ref="G61:G62"/>
    <mergeCell ref="H61:I62"/>
    <mergeCell ref="J61:J62"/>
    <mergeCell ref="K61:L62"/>
    <mergeCell ref="M61:M62"/>
    <mergeCell ref="AA26:AB27"/>
    <mergeCell ref="AC26:AC27"/>
    <mergeCell ref="AD26:AE27"/>
    <mergeCell ref="AA22:AB23"/>
    <mergeCell ref="AC22:AC23"/>
    <mergeCell ref="AD22:AE23"/>
    <mergeCell ref="K63:L64"/>
    <mergeCell ref="M63:M64"/>
    <mergeCell ref="N63:O64"/>
    <mergeCell ref="AC28:AC29"/>
    <mergeCell ref="AD28:AE29"/>
    <mergeCell ref="R26:S27"/>
    <mergeCell ref="T26:V26"/>
    <mergeCell ref="W26:W27"/>
    <mergeCell ref="X26:Y27"/>
    <mergeCell ref="Z26:Z27"/>
    <mergeCell ref="T27:V27"/>
    <mergeCell ref="R24:S25"/>
    <mergeCell ref="T24:V24"/>
    <mergeCell ref="W24:W25"/>
    <mergeCell ref="X24:Y25"/>
    <mergeCell ref="Z24:Z25"/>
    <mergeCell ref="AA24:AB25"/>
    <mergeCell ref="AC24:AC25"/>
    <mergeCell ref="B35:D36"/>
    <mergeCell ref="E35:O36"/>
    <mergeCell ref="E37:O40"/>
    <mergeCell ref="E41:F42"/>
    <mergeCell ref="G41:L42"/>
    <mergeCell ref="M41:O42"/>
    <mergeCell ref="AA30:AB31"/>
    <mergeCell ref="AC30:AC31"/>
    <mergeCell ref="AD30:AE31"/>
    <mergeCell ref="T31:V31"/>
    <mergeCell ref="R30:S31"/>
    <mergeCell ref="T30:V30"/>
    <mergeCell ref="W30:W31"/>
    <mergeCell ref="X30:Y31"/>
    <mergeCell ref="Z30:Z31"/>
    <mergeCell ref="B32:C33"/>
    <mergeCell ref="D32:F32"/>
    <mergeCell ref="G32:G33"/>
    <mergeCell ref="H32:I33"/>
    <mergeCell ref="J32:J33"/>
    <mergeCell ref="K32:L33"/>
    <mergeCell ref="R32:S33"/>
    <mergeCell ref="T32:V32"/>
    <mergeCell ref="W32:W33"/>
    <mergeCell ref="G53:L54"/>
    <mergeCell ref="E43:F44"/>
    <mergeCell ref="G43:I44"/>
    <mergeCell ref="J43:L44"/>
    <mergeCell ref="M43:O44"/>
    <mergeCell ref="E45:F46"/>
    <mergeCell ref="G45:I46"/>
    <mergeCell ref="J45:L46"/>
    <mergeCell ref="M45:O46"/>
    <mergeCell ref="B51:O52"/>
    <mergeCell ref="B53:F54"/>
    <mergeCell ref="M53:O54"/>
    <mergeCell ref="M47:N48"/>
    <mergeCell ref="O47:O48"/>
    <mergeCell ref="E49:F50"/>
    <mergeCell ref="G49:H50"/>
    <mergeCell ref="I49:I50"/>
    <mergeCell ref="J49:K50"/>
    <mergeCell ref="L49:L50"/>
    <mergeCell ref="M49:N50"/>
    <mergeCell ref="O49:O50"/>
    <mergeCell ref="E47:F48"/>
    <mergeCell ref="G47:H48"/>
    <mergeCell ref="I47:I48"/>
    <mergeCell ref="U43:V44"/>
    <mergeCell ref="W43:Y44"/>
    <mergeCell ref="Z43:AB44"/>
    <mergeCell ref="AC43:AE44"/>
    <mergeCell ref="U45:V46"/>
    <mergeCell ref="W45:Y46"/>
    <mergeCell ref="Z45:AB46"/>
    <mergeCell ref="AC45:AE46"/>
    <mergeCell ref="R35:T36"/>
    <mergeCell ref="U35:AE36"/>
    <mergeCell ref="U37:AE40"/>
    <mergeCell ref="U41:V42"/>
    <mergeCell ref="W41:AB42"/>
    <mergeCell ref="AC41:AE42"/>
    <mergeCell ref="AE47:AE48"/>
    <mergeCell ref="U49:V50"/>
    <mergeCell ref="W49:X50"/>
    <mergeCell ref="Y49:Y50"/>
    <mergeCell ref="Z49:AA50"/>
    <mergeCell ref="AB49:AB50"/>
    <mergeCell ref="AC49:AD50"/>
    <mergeCell ref="AE49:AE50"/>
    <mergeCell ref="U47:V48"/>
    <mergeCell ref="W47:X48"/>
    <mergeCell ref="Y47:Y48"/>
    <mergeCell ref="Z47:AA48"/>
    <mergeCell ref="AB47:AB48"/>
    <mergeCell ref="AA55:AB56"/>
    <mergeCell ref="AC55:AC56"/>
    <mergeCell ref="AD55:AE56"/>
    <mergeCell ref="R57:S58"/>
    <mergeCell ref="T57:V57"/>
    <mergeCell ref="W57:W58"/>
    <mergeCell ref="X57:Y58"/>
    <mergeCell ref="Z57:Z58"/>
    <mergeCell ref="AA57:AB58"/>
    <mergeCell ref="AC57:AC58"/>
    <mergeCell ref="AD57:AE58"/>
    <mergeCell ref="T58:V58"/>
    <mergeCell ref="R55:S56"/>
    <mergeCell ref="T55:V56"/>
    <mergeCell ref="W55:W56"/>
    <mergeCell ref="X55:Y56"/>
    <mergeCell ref="Z55:Z56"/>
    <mergeCell ref="AA61:AB62"/>
    <mergeCell ref="AC61:AC62"/>
    <mergeCell ref="AD61:AE62"/>
    <mergeCell ref="T62:V62"/>
    <mergeCell ref="R59:S60"/>
    <mergeCell ref="T59:V59"/>
    <mergeCell ref="W59:W60"/>
    <mergeCell ref="X59:Y60"/>
    <mergeCell ref="Z59:Z60"/>
    <mergeCell ref="B65:C66"/>
    <mergeCell ref="D65:F65"/>
    <mergeCell ref="G65:G66"/>
    <mergeCell ref="H65:I66"/>
    <mergeCell ref="J65:J66"/>
    <mergeCell ref="K65:L66"/>
    <mergeCell ref="M65:M66"/>
    <mergeCell ref="N65:O66"/>
    <mergeCell ref="X32:Y33"/>
    <mergeCell ref="T64:V64"/>
    <mergeCell ref="R63:S64"/>
    <mergeCell ref="T63:V63"/>
    <mergeCell ref="W63:W64"/>
    <mergeCell ref="X63:Y64"/>
    <mergeCell ref="T60:V60"/>
    <mergeCell ref="R61:S62"/>
    <mergeCell ref="T61:V61"/>
    <mergeCell ref="W61:W62"/>
    <mergeCell ref="X61:Y62"/>
    <mergeCell ref="R51:AE52"/>
    <mergeCell ref="R53:V54"/>
    <mergeCell ref="AC53:AE54"/>
    <mergeCell ref="W53:AB54"/>
    <mergeCell ref="AC47:AD48"/>
    <mergeCell ref="AA65:AB66"/>
    <mergeCell ref="AC65:AC66"/>
    <mergeCell ref="AD65:AE66"/>
    <mergeCell ref="D33:F33"/>
    <mergeCell ref="T33:V33"/>
    <mergeCell ref="D66:F66"/>
    <mergeCell ref="T66:V66"/>
    <mergeCell ref="R65:S66"/>
    <mergeCell ref="T65:V65"/>
    <mergeCell ref="W65:W66"/>
    <mergeCell ref="X65:Y66"/>
    <mergeCell ref="Z65:Z66"/>
    <mergeCell ref="AC32:AC33"/>
    <mergeCell ref="AD32:AE33"/>
    <mergeCell ref="Z32:Z33"/>
    <mergeCell ref="AA32:AB33"/>
    <mergeCell ref="AA63:AB64"/>
    <mergeCell ref="AC63:AC64"/>
    <mergeCell ref="AD63:AE64"/>
    <mergeCell ref="Z63:Z64"/>
    <mergeCell ref="AA59:AB60"/>
    <mergeCell ref="AC59:AC60"/>
    <mergeCell ref="AD59:AE60"/>
    <mergeCell ref="Z61:Z62"/>
  </mergeCells>
  <phoneticPr fontId="7" type="noConversion"/>
  <printOptions horizontalCentered="1"/>
  <pageMargins left="0.11811023622047245" right="0.11811023622047245" top="0.27559055118110237" bottom="0" header="0.19685039370078741" footer="0"/>
  <pageSetup scale="56" fitToWidth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5981-EF8A-4F01-AE35-27C9245CCB48}">
  <dimension ref="A1:T25"/>
  <sheetViews>
    <sheetView tabSelected="1" workbookViewId="0">
      <selection activeCell="B8" sqref="B8"/>
    </sheetView>
  </sheetViews>
  <sheetFormatPr baseColWidth="10" defaultRowHeight="15" x14ac:dyDescent="0.25"/>
  <cols>
    <col min="2" max="2" width="27.5703125" customWidth="1"/>
    <col min="5" max="6" width="8.28515625" bestFit="1" customWidth="1"/>
    <col min="7" max="7" width="15.85546875" bestFit="1" customWidth="1"/>
    <col min="8" max="8" width="9.5703125" bestFit="1" customWidth="1"/>
    <col min="9" max="9" width="9.85546875" customWidth="1"/>
    <col min="10" max="10" width="9.7109375" bestFit="1" customWidth="1"/>
    <col min="11" max="11" width="10.85546875" customWidth="1"/>
    <col min="12" max="12" width="11" bestFit="1" customWidth="1"/>
    <col min="14" max="14" width="19.140625" bestFit="1" customWidth="1"/>
    <col min="15" max="15" width="11.7109375" customWidth="1"/>
    <col min="16" max="16" width="10.42578125" customWidth="1"/>
    <col min="17" max="17" width="8.5703125" customWidth="1"/>
  </cols>
  <sheetData>
    <row r="1" spans="1:20" ht="22.5" x14ac:dyDescent="0.45">
      <c r="A1" s="205" t="s">
        <v>42</v>
      </c>
      <c r="B1" s="205"/>
      <c r="C1" s="205"/>
      <c r="H1" s="14" t="s">
        <v>62</v>
      </c>
      <c r="I1" s="28" t="s">
        <v>63</v>
      </c>
      <c r="J1" s="14"/>
    </row>
    <row r="2" spans="1:20" ht="22.5" x14ac:dyDescent="0.45">
      <c r="A2" s="206" t="s">
        <v>88</v>
      </c>
      <c r="B2" s="206"/>
      <c r="C2" s="206"/>
      <c r="H2" s="14" t="s">
        <v>64</v>
      </c>
      <c r="I2" s="28" t="s">
        <v>27</v>
      </c>
      <c r="J2" s="14"/>
      <c r="M2" s="20" t="s">
        <v>84</v>
      </c>
      <c r="N2" s="20"/>
      <c r="O2" s="14"/>
      <c r="P2" s="14"/>
      <c r="Q2" s="14"/>
      <c r="R2" s="14"/>
    </row>
    <row r="3" spans="1:20" ht="22.5" x14ac:dyDescent="0.45">
      <c r="A3" s="40" t="s">
        <v>87</v>
      </c>
      <c r="N3" s="14"/>
      <c r="O3" s="31" t="s">
        <v>69</v>
      </c>
      <c r="P3" s="31" t="s">
        <v>70</v>
      </c>
      <c r="Q3" s="31" t="s">
        <v>71</v>
      </c>
      <c r="R3" s="31" t="s">
        <v>72</v>
      </c>
      <c r="T3" s="14"/>
    </row>
    <row r="4" spans="1:20" ht="20.25" x14ac:dyDescent="0.4">
      <c r="A4" s="207" t="s">
        <v>44</v>
      </c>
      <c r="B4" s="207"/>
      <c r="C4" s="207"/>
      <c r="M4" s="17"/>
      <c r="N4" s="34" t="s">
        <v>85</v>
      </c>
      <c r="O4" s="32">
        <v>23.3</v>
      </c>
      <c r="P4" s="32">
        <v>18.8</v>
      </c>
      <c r="Q4" s="32">
        <v>26.78</v>
      </c>
      <c r="R4" s="32">
        <v>26.2</v>
      </c>
      <c r="T4" s="14"/>
    </row>
    <row r="5" spans="1:20" ht="39.75" thickBot="1" x14ac:dyDescent="0.45">
      <c r="A5" s="207"/>
      <c r="B5" s="207"/>
      <c r="C5" s="207"/>
      <c r="D5" s="208" t="s">
        <v>46</v>
      </c>
      <c r="E5" s="208"/>
      <c r="M5" s="17"/>
      <c r="N5" s="35" t="s">
        <v>89</v>
      </c>
      <c r="O5" s="33">
        <v>256</v>
      </c>
      <c r="P5" s="33">
        <v>206</v>
      </c>
      <c r="Q5" s="33">
        <v>294</v>
      </c>
      <c r="R5" s="33">
        <v>288</v>
      </c>
      <c r="T5" s="16"/>
    </row>
    <row r="6" spans="1:20" ht="29.25" thickBot="1" x14ac:dyDescent="0.45">
      <c r="A6" s="209" t="s">
        <v>43</v>
      </c>
      <c r="B6" s="209"/>
      <c r="D6" s="209" t="s">
        <v>45</v>
      </c>
      <c r="E6" s="209"/>
      <c r="F6" s="25"/>
      <c r="G6" s="210" t="s">
        <v>82</v>
      </c>
      <c r="H6" s="211"/>
      <c r="I6" s="210" t="s">
        <v>83</v>
      </c>
      <c r="J6" s="211"/>
      <c r="K6" s="26" t="s">
        <v>92</v>
      </c>
      <c r="M6" s="17"/>
      <c r="N6" s="36" t="s">
        <v>86</v>
      </c>
      <c r="O6" s="22">
        <v>3</v>
      </c>
      <c r="P6" s="23">
        <v>5</v>
      </c>
      <c r="Q6" s="23">
        <v>3</v>
      </c>
      <c r="R6" s="24">
        <v>2</v>
      </c>
      <c r="T6" s="14"/>
    </row>
    <row r="7" spans="1:20" ht="22.5" x14ac:dyDescent="0.4">
      <c r="C7" s="9" t="s">
        <v>47</v>
      </c>
      <c r="D7" s="9"/>
      <c r="E7" s="9"/>
      <c r="F7" s="25" t="s">
        <v>68</v>
      </c>
      <c r="G7" s="29" t="s">
        <v>66</v>
      </c>
      <c r="H7" s="30" t="s">
        <v>67</v>
      </c>
      <c r="I7" s="29" t="s">
        <v>66</v>
      </c>
      <c r="J7" s="30" t="s">
        <v>67</v>
      </c>
      <c r="K7" s="27"/>
      <c r="M7" s="17"/>
      <c r="N7" s="37" t="s">
        <v>90</v>
      </c>
      <c r="O7" s="38">
        <v>8</v>
      </c>
      <c r="P7" s="38">
        <v>31</v>
      </c>
      <c r="Q7" s="38">
        <v>38</v>
      </c>
      <c r="R7" s="38">
        <v>39</v>
      </c>
      <c r="T7" s="18"/>
    </row>
    <row r="8" spans="1:20" ht="22.5" x14ac:dyDescent="0.4">
      <c r="B8" s="41"/>
      <c r="D8" s="9"/>
      <c r="E8" s="212">
        <f>SUM(E10:E20)</f>
        <v>7.9499999999999993</v>
      </c>
      <c r="F8" s="47" t="s">
        <v>69</v>
      </c>
      <c r="G8" s="47">
        <v>45.1</v>
      </c>
      <c r="H8" s="47">
        <v>2.57</v>
      </c>
      <c r="I8" s="47">
        <v>38.5</v>
      </c>
      <c r="J8" s="47">
        <v>2.2599999999999998</v>
      </c>
      <c r="K8" s="46">
        <v>261</v>
      </c>
      <c r="T8" s="18"/>
    </row>
    <row r="9" spans="1:20" ht="23.25" thickBot="1" x14ac:dyDescent="0.45">
      <c r="E9" s="213"/>
      <c r="F9" s="47" t="s">
        <v>70</v>
      </c>
      <c r="G9" s="47">
        <v>56.1</v>
      </c>
      <c r="H9" s="47">
        <v>3.19</v>
      </c>
      <c r="I9" s="47">
        <v>47.3</v>
      </c>
      <c r="J9" s="47">
        <v>2.5299999999999998</v>
      </c>
      <c r="K9" s="46">
        <v>468</v>
      </c>
      <c r="T9" s="18"/>
    </row>
    <row r="10" spans="1:20" ht="23.25" thickBot="1" x14ac:dyDescent="0.45">
      <c r="A10" s="209" t="s">
        <v>48</v>
      </c>
      <c r="B10" s="209"/>
      <c r="D10" s="44" t="s">
        <v>49</v>
      </c>
      <c r="E10" s="48"/>
      <c r="F10" s="47" t="s">
        <v>71</v>
      </c>
      <c r="G10" s="47">
        <v>64.900000000000006</v>
      </c>
      <c r="H10" s="47">
        <v>2.2400000000000002</v>
      </c>
      <c r="I10" s="47">
        <v>55</v>
      </c>
      <c r="J10" s="47">
        <v>2</v>
      </c>
      <c r="K10" s="46">
        <v>380</v>
      </c>
      <c r="T10" s="18"/>
    </row>
    <row r="11" spans="1:20" ht="23.25" thickBot="1" x14ac:dyDescent="0.45">
      <c r="A11" s="209" t="s">
        <v>50</v>
      </c>
      <c r="B11" s="209"/>
      <c r="D11" s="44" t="s">
        <v>51</v>
      </c>
      <c r="E11" s="49">
        <v>1.8</v>
      </c>
      <c r="F11" s="47" t="s">
        <v>72</v>
      </c>
      <c r="G11" s="47">
        <v>74.8</v>
      </c>
      <c r="H11" s="47">
        <v>2.29</v>
      </c>
      <c r="I11" s="47">
        <v>63.8</v>
      </c>
      <c r="J11" s="47">
        <v>2.04</v>
      </c>
      <c r="K11" s="46">
        <v>241</v>
      </c>
      <c r="Q11" s="14"/>
      <c r="R11" s="14"/>
      <c r="S11" s="14"/>
      <c r="T11" s="19"/>
    </row>
    <row r="12" spans="1:20" ht="21" thickBot="1" x14ac:dyDescent="0.45">
      <c r="A12" s="209" t="s">
        <v>52</v>
      </c>
      <c r="B12" s="209"/>
      <c r="D12" s="44" t="s">
        <v>53</v>
      </c>
      <c r="E12" s="42">
        <v>1.8</v>
      </c>
      <c r="G12" s="39"/>
      <c r="H12" s="39"/>
      <c r="I12" s="39"/>
      <c r="J12" s="39"/>
      <c r="K12" s="39"/>
      <c r="L12" s="11"/>
      <c r="S12" s="14"/>
      <c r="T12" s="14"/>
    </row>
    <row r="13" spans="1:20" ht="21" thickBot="1" x14ac:dyDescent="0.45">
      <c r="A13" s="209" t="s">
        <v>54</v>
      </c>
      <c r="B13" s="209"/>
      <c r="D13" s="44" t="s">
        <v>55</v>
      </c>
      <c r="E13" s="42">
        <v>1.5</v>
      </c>
      <c r="G13" s="25"/>
      <c r="H13" s="45"/>
      <c r="I13" s="11"/>
      <c r="J13" s="214" t="s">
        <v>93</v>
      </c>
      <c r="K13" s="215"/>
      <c r="L13" s="39"/>
      <c r="S13" s="14"/>
      <c r="T13" s="14"/>
    </row>
    <row r="14" spans="1:20" ht="19.5" thickBot="1" x14ac:dyDescent="0.45">
      <c r="A14" s="9"/>
      <c r="B14" s="13" t="s">
        <v>91</v>
      </c>
      <c r="D14" s="44" t="s">
        <v>56</v>
      </c>
      <c r="E14" s="10"/>
      <c r="G14" s="25" t="s">
        <v>68</v>
      </c>
      <c r="H14" s="45" t="s">
        <v>65</v>
      </c>
      <c r="I14" s="51"/>
      <c r="J14" s="29" t="s">
        <v>66</v>
      </c>
      <c r="K14" s="30" t="s">
        <v>67</v>
      </c>
      <c r="L14" s="11"/>
      <c r="S14" s="21"/>
      <c r="T14" s="17"/>
    </row>
    <row r="15" spans="1:20" ht="23.25" thickBot="1" x14ac:dyDescent="0.45">
      <c r="A15" s="9"/>
      <c r="B15" s="9"/>
      <c r="D15" s="44" t="s">
        <v>57</v>
      </c>
      <c r="E15" s="10"/>
      <c r="G15" s="46" t="s">
        <v>69</v>
      </c>
      <c r="H15" s="50" t="s">
        <v>74</v>
      </c>
      <c r="I15" s="52"/>
      <c r="J15" s="47">
        <f>G8+I8</f>
        <v>83.6</v>
      </c>
      <c r="K15" s="47">
        <f>H8+J8</f>
        <v>4.83</v>
      </c>
      <c r="L15" s="39"/>
      <c r="S15" s="17"/>
      <c r="T15" s="17"/>
    </row>
    <row r="16" spans="1:20" ht="23.25" thickBot="1" x14ac:dyDescent="0.45">
      <c r="A16" s="209" t="s">
        <v>50</v>
      </c>
      <c r="B16" s="209"/>
      <c r="D16" s="44" t="s">
        <v>58</v>
      </c>
      <c r="E16" s="10">
        <v>0.75</v>
      </c>
      <c r="G16" s="46" t="s">
        <v>70</v>
      </c>
      <c r="H16" s="50" t="s">
        <v>73</v>
      </c>
      <c r="I16" s="51"/>
      <c r="J16" s="47">
        <f t="shared" ref="J16:K16" si="0">G9+I9</f>
        <v>103.4</v>
      </c>
      <c r="K16" s="47">
        <f t="shared" si="0"/>
        <v>5.72</v>
      </c>
      <c r="L16" s="39"/>
      <c r="S16" s="17"/>
      <c r="T16" s="17"/>
    </row>
    <row r="17" spans="1:20" ht="23.25" thickBot="1" x14ac:dyDescent="0.45">
      <c r="A17" s="9"/>
      <c r="B17" s="9"/>
      <c r="D17" s="44" t="s">
        <v>59</v>
      </c>
      <c r="E17" s="10">
        <v>2.1</v>
      </c>
      <c r="G17" s="46" t="s">
        <v>71</v>
      </c>
      <c r="H17" s="50" t="s">
        <v>75</v>
      </c>
      <c r="I17" s="52"/>
      <c r="J17" s="47">
        <f t="shared" ref="J17:K17" si="1">G10+I10</f>
        <v>119.9</v>
      </c>
      <c r="K17" s="47">
        <f t="shared" si="1"/>
        <v>4.24</v>
      </c>
      <c r="L17" s="11"/>
      <c r="S17" s="17"/>
      <c r="T17" s="17"/>
    </row>
    <row r="18" spans="1:20" ht="23.25" thickBot="1" x14ac:dyDescent="0.45">
      <c r="A18" s="12"/>
      <c r="B18" s="43" t="s">
        <v>60</v>
      </c>
      <c r="D18" s="44" t="s">
        <v>61</v>
      </c>
      <c r="E18" s="10"/>
      <c r="G18" s="46" t="s">
        <v>72</v>
      </c>
      <c r="H18" s="50" t="s">
        <v>76</v>
      </c>
      <c r="I18" s="39"/>
      <c r="J18" s="47">
        <f t="shared" ref="J18:K18" si="2">G11+I11</f>
        <v>138.6</v>
      </c>
      <c r="K18" s="47">
        <f t="shared" si="2"/>
        <v>4.33</v>
      </c>
      <c r="L18" s="39"/>
      <c r="M18" s="17"/>
      <c r="N18" s="17"/>
      <c r="O18" s="17"/>
      <c r="P18" s="38"/>
      <c r="Q18" s="17"/>
      <c r="R18" s="17"/>
      <c r="S18" s="17"/>
      <c r="T18" s="17"/>
    </row>
    <row r="19" spans="1:20" ht="21.75" x14ac:dyDescent="0.4">
      <c r="A19" s="9"/>
      <c r="G19" s="39"/>
      <c r="H19" s="39"/>
      <c r="I19" s="54" t="s">
        <v>94</v>
      </c>
      <c r="J19" s="53">
        <f>AVERAGE(J15:J18)</f>
        <v>111.375</v>
      </c>
      <c r="K19" s="53">
        <f>AVERAGE(K15:K18)</f>
        <v>4.78</v>
      </c>
      <c r="L19" s="39"/>
      <c r="P19" s="55"/>
    </row>
    <row r="20" spans="1:20" ht="18.75" x14ac:dyDescent="0.4">
      <c r="A20" s="9"/>
      <c r="B20" s="9"/>
      <c r="C20" s="9"/>
      <c r="D20" s="9"/>
      <c r="E20" s="9"/>
      <c r="F20" s="11"/>
      <c r="G20" s="11"/>
      <c r="H20" s="11"/>
      <c r="I20" s="11"/>
      <c r="J20" s="11"/>
      <c r="K20" s="11"/>
      <c r="L20" s="11"/>
    </row>
    <row r="21" spans="1:20" ht="18.75" x14ac:dyDescent="0.4">
      <c r="A21" s="14" t="s">
        <v>77</v>
      </c>
      <c r="G21" s="39"/>
      <c r="H21" s="39"/>
      <c r="I21" s="39"/>
      <c r="J21" s="39"/>
      <c r="K21" s="39"/>
      <c r="L21" s="39"/>
    </row>
    <row r="22" spans="1:20" ht="23.25" x14ac:dyDescent="0.35">
      <c r="B22" s="15" t="s">
        <v>78</v>
      </c>
      <c r="C22" s="15" t="s">
        <v>79</v>
      </c>
      <c r="D22" s="15"/>
      <c r="G22" s="39"/>
      <c r="H22" s="39"/>
      <c r="I22" s="39"/>
      <c r="J22" s="39"/>
      <c r="K22" s="39"/>
    </row>
    <row r="23" spans="1:20" ht="23.25" x14ac:dyDescent="0.35">
      <c r="B23" s="15"/>
      <c r="C23" s="15" t="s">
        <v>80</v>
      </c>
      <c r="D23" s="15"/>
      <c r="F23" s="11"/>
      <c r="G23" s="11"/>
      <c r="H23" s="11"/>
      <c r="I23" s="11"/>
      <c r="J23" s="11"/>
      <c r="K23" s="11"/>
    </row>
    <row r="24" spans="1:20" ht="23.25" x14ac:dyDescent="0.35">
      <c r="B24" s="15"/>
      <c r="C24" s="15" t="s">
        <v>81</v>
      </c>
      <c r="D24" s="15"/>
      <c r="G24" s="39"/>
      <c r="H24" s="39"/>
      <c r="I24" s="39"/>
      <c r="J24" s="39"/>
      <c r="K24" s="39"/>
    </row>
    <row r="25" spans="1:20" ht="18.75" x14ac:dyDescent="0.4">
      <c r="A25" s="9"/>
      <c r="B25" s="9"/>
      <c r="C25" s="9"/>
      <c r="D25" s="9"/>
      <c r="E25" s="9"/>
    </row>
  </sheetData>
  <mergeCells count="15">
    <mergeCell ref="A16:B16"/>
    <mergeCell ref="G6:H6"/>
    <mergeCell ref="I6:J6"/>
    <mergeCell ref="A6:B6"/>
    <mergeCell ref="A10:B10"/>
    <mergeCell ref="A11:B11"/>
    <mergeCell ref="A12:B12"/>
    <mergeCell ref="A13:B13"/>
    <mergeCell ref="E8:E9"/>
    <mergeCell ref="J13:K13"/>
    <mergeCell ref="A1:C1"/>
    <mergeCell ref="A2:C2"/>
    <mergeCell ref="A4:C5"/>
    <mergeCell ref="D5:E5"/>
    <mergeCell ref="D6:E6"/>
  </mergeCells>
  <pageMargins left="0.23622047244094491" right="0.23622047244094491" top="0.55118110236220474" bottom="0.35433070866141736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14E3-826A-44BD-93AB-140B6CD49E33}">
  <dimension ref="A1:G20"/>
  <sheetViews>
    <sheetView workbookViewId="0">
      <selection activeCell="G20" sqref="G20"/>
    </sheetView>
  </sheetViews>
  <sheetFormatPr baseColWidth="10" defaultRowHeight="15" x14ac:dyDescent="0.25"/>
  <cols>
    <col min="2" max="2" width="9.42578125" customWidth="1"/>
    <col min="3" max="3" width="14.7109375" customWidth="1"/>
    <col min="4" max="4" width="13.7109375" customWidth="1"/>
  </cols>
  <sheetData>
    <row r="1" spans="1:7" ht="31.5" x14ac:dyDescent="0.6">
      <c r="B1" s="56" t="s">
        <v>95</v>
      </c>
      <c r="C1" s="56"/>
      <c r="D1" s="57"/>
    </row>
    <row r="2" spans="1:7" ht="22.5" x14ac:dyDescent="0.45">
      <c r="A2" s="58" t="s">
        <v>84</v>
      </c>
      <c r="B2" s="58"/>
      <c r="C2" s="58"/>
    </row>
    <row r="3" spans="1:7" ht="18.75" x14ac:dyDescent="0.4">
      <c r="F3" s="14"/>
      <c r="G3" s="14"/>
    </row>
    <row r="4" spans="1:7" ht="22.5" x14ac:dyDescent="0.45">
      <c r="A4" s="14"/>
      <c r="B4" s="31" t="s">
        <v>69</v>
      </c>
      <c r="C4" s="31" t="s">
        <v>70</v>
      </c>
      <c r="D4" s="31" t="s">
        <v>71</v>
      </c>
      <c r="E4" s="31" t="s">
        <v>72</v>
      </c>
      <c r="G4" s="14"/>
    </row>
    <row r="5" spans="1:7" ht="18.75" x14ac:dyDescent="0.3">
      <c r="A5" s="34" t="s">
        <v>85</v>
      </c>
      <c r="B5" s="32">
        <v>23.3</v>
      </c>
      <c r="C5" s="32">
        <v>18.8</v>
      </c>
      <c r="D5" s="32">
        <v>26.78</v>
      </c>
      <c r="E5" s="32">
        <v>26.2</v>
      </c>
      <c r="G5" s="21"/>
    </row>
    <row r="6" spans="1:7" ht="44.25" customHeight="1" thickBot="1" x14ac:dyDescent="0.35">
      <c r="A6" s="35" t="s">
        <v>89</v>
      </c>
      <c r="B6" s="33">
        <v>256</v>
      </c>
      <c r="C6" s="33">
        <v>206</v>
      </c>
      <c r="D6" s="33">
        <v>294</v>
      </c>
      <c r="E6" s="33">
        <v>288</v>
      </c>
      <c r="G6" s="17"/>
    </row>
    <row r="7" spans="1:7" ht="21.75" thickBot="1" x14ac:dyDescent="0.4">
      <c r="A7" s="36" t="s">
        <v>86</v>
      </c>
      <c r="B7" s="22">
        <v>3</v>
      </c>
      <c r="C7" s="23">
        <v>5</v>
      </c>
      <c r="D7" s="23">
        <v>3</v>
      </c>
      <c r="E7" s="24">
        <v>2</v>
      </c>
      <c r="G7" s="17"/>
    </row>
    <row r="8" spans="1:7" ht="22.5" x14ac:dyDescent="0.3">
      <c r="A8" s="34" t="s">
        <v>90</v>
      </c>
      <c r="B8" s="59">
        <v>8</v>
      </c>
      <c r="C8" s="59">
        <v>31</v>
      </c>
      <c r="D8" s="59">
        <v>38</v>
      </c>
      <c r="E8" s="59">
        <v>39</v>
      </c>
      <c r="G8" s="17"/>
    </row>
    <row r="10" spans="1:7" ht="22.5" x14ac:dyDescent="0.45">
      <c r="A10" s="60" t="s">
        <v>96</v>
      </c>
      <c r="B10" s="61"/>
      <c r="F10" s="14" t="s">
        <v>98</v>
      </c>
    </row>
    <row r="11" spans="1:7" x14ac:dyDescent="0.25">
      <c r="A11" s="62"/>
    </row>
    <row r="12" spans="1:7" ht="18.75" x14ac:dyDescent="0.4">
      <c r="A12" s="216" t="s">
        <v>48</v>
      </c>
      <c r="B12" s="216"/>
      <c r="C12" s="71" t="s">
        <v>99</v>
      </c>
      <c r="D12" s="71"/>
      <c r="E12" s="65"/>
    </row>
    <row r="13" spans="1:7" ht="18.75" x14ac:dyDescent="0.4">
      <c r="A13" s="216" t="s">
        <v>50</v>
      </c>
      <c r="B13" s="216"/>
      <c r="C13" s="63" t="s">
        <v>97</v>
      </c>
      <c r="D13" s="64"/>
      <c r="E13" s="65"/>
    </row>
    <row r="14" spans="1:7" ht="18.75" x14ac:dyDescent="0.4">
      <c r="A14" s="216" t="s">
        <v>52</v>
      </c>
      <c r="B14" s="216"/>
      <c r="C14" s="63" t="s">
        <v>101</v>
      </c>
      <c r="D14" s="64"/>
      <c r="E14" s="65"/>
    </row>
    <row r="15" spans="1:7" ht="18.75" x14ac:dyDescent="0.4">
      <c r="A15" s="216" t="s">
        <v>54</v>
      </c>
      <c r="B15" s="216"/>
      <c r="C15" s="63" t="s">
        <v>102</v>
      </c>
      <c r="D15" s="64"/>
      <c r="E15" s="65"/>
    </row>
    <row r="16" spans="1:7" x14ac:dyDescent="0.25">
      <c r="A16" s="69"/>
      <c r="B16" s="69" t="s">
        <v>91</v>
      </c>
      <c r="C16" s="70" t="s">
        <v>56</v>
      </c>
      <c r="D16" s="64"/>
      <c r="E16" s="65"/>
    </row>
    <row r="17" spans="1:5" ht="18.75" x14ac:dyDescent="0.4">
      <c r="A17" s="67"/>
      <c r="B17" s="67"/>
      <c r="C17" s="63"/>
      <c r="D17" s="64" t="s">
        <v>57</v>
      </c>
      <c r="E17" s="65"/>
    </row>
    <row r="18" spans="1:5" ht="18.75" x14ac:dyDescent="0.4">
      <c r="A18" s="216" t="s">
        <v>50</v>
      </c>
      <c r="B18" s="216"/>
      <c r="C18" s="14" t="s">
        <v>100</v>
      </c>
      <c r="D18" s="66"/>
      <c r="E18" s="65"/>
    </row>
    <row r="19" spans="1:5" ht="19.5" x14ac:dyDescent="0.4">
      <c r="A19" s="67"/>
      <c r="B19" s="68"/>
      <c r="C19" s="14"/>
      <c r="D19" s="66" t="s">
        <v>59</v>
      </c>
      <c r="E19" s="65"/>
    </row>
    <row r="20" spans="1:5" ht="18.75" x14ac:dyDescent="0.4">
      <c r="A20" s="67"/>
      <c r="B20" s="25" t="s">
        <v>91</v>
      </c>
      <c r="C20" s="63"/>
      <c r="D20" s="64" t="s">
        <v>61</v>
      </c>
      <c r="E20" s="65"/>
    </row>
  </sheetData>
  <mergeCells count="5">
    <mergeCell ref="A12:B12"/>
    <mergeCell ref="A13:B13"/>
    <mergeCell ref="A14:B14"/>
    <mergeCell ref="A15:B15"/>
    <mergeCell ref="A18:B18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D8DD-63DD-4C6E-AE36-D710B3142909}">
  <dimension ref="A1:H33"/>
  <sheetViews>
    <sheetView workbookViewId="0">
      <selection activeCell="C25" sqref="C25"/>
    </sheetView>
  </sheetViews>
  <sheetFormatPr baseColWidth="10" defaultRowHeight="15" x14ac:dyDescent="0.25"/>
  <cols>
    <col min="2" max="2" width="14.28515625" customWidth="1"/>
  </cols>
  <sheetData>
    <row r="1" spans="1:8" ht="24.75" x14ac:dyDescent="0.5">
      <c r="A1" s="72" t="s">
        <v>104</v>
      </c>
      <c r="B1" s="72"/>
      <c r="C1" s="72"/>
      <c r="D1" s="72"/>
    </row>
    <row r="3" spans="1:8" ht="18.75" x14ac:dyDescent="0.4">
      <c r="A3" s="14" t="s">
        <v>105</v>
      </c>
      <c r="B3" s="14"/>
      <c r="C3" s="14" t="s">
        <v>106</v>
      </c>
      <c r="D3" s="14"/>
      <c r="E3" s="14"/>
      <c r="F3" s="63"/>
      <c r="G3" s="63"/>
      <c r="H3" s="63"/>
    </row>
    <row r="4" spans="1:8" x14ac:dyDescent="0.25">
      <c r="A4" s="63"/>
      <c r="B4" s="63"/>
      <c r="C4" s="63"/>
      <c r="D4" s="63"/>
      <c r="E4" s="63"/>
      <c r="F4" s="63"/>
      <c r="G4" s="63"/>
      <c r="H4" s="63"/>
    </row>
    <row r="5" spans="1:8" x14ac:dyDescent="0.25">
      <c r="A5" s="63" t="s">
        <v>107</v>
      </c>
      <c r="B5" s="63"/>
      <c r="C5" s="63"/>
      <c r="D5" s="63" t="s">
        <v>108</v>
      </c>
      <c r="E5" s="63"/>
      <c r="F5" s="63"/>
      <c r="G5" s="63"/>
      <c r="H5" s="63"/>
    </row>
    <row r="6" spans="1:8" x14ac:dyDescent="0.25">
      <c r="A6" s="63"/>
      <c r="B6" s="217" t="s">
        <v>109</v>
      </c>
      <c r="C6" s="217"/>
      <c r="D6" s="63"/>
      <c r="E6" s="63"/>
      <c r="F6" s="63"/>
      <c r="G6" s="63"/>
      <c r="H6" s="63"/>
    </row>
    <row r="7" spans="1:8" ht="20.25" x14ac:dyDescent="0.3">
      <c r="A7" s="220"/>
      <c r="B7" s="220"/>
      <c r="C7" s="63"/>
      <c r="D7" s="63"/>
      <c r="E7" s="63"/>
      <c r="F7" s="63"/>
      <c r="G7" s="63"/>
      <c r="H7" s="63"/>
    </row>
    <row r="8" spans="1:8" ht="20.25" x14ac:dyDescent="0.3">
      <c r="A8" s="220" t="s">
        <v>69</v>
      </c>
      <c r="B8" s="221" t="s">
        <v>113</v>
      </c>
      <c r="C8" s="63"/>
      <c r="D8" s="63"/>
      <c r="E8" s="63"/>
      <c r="F8" s="63"/>
      <c r="G8" s="63"/>
      <c r="H8" s="63"/>
    </row>
    <row r="9" spans="1:8" ht="20.25" x14ac:dyDescent="0.3">
      <c r="A9" s="220" t="s">
        <v>70</v>
      </c>
      <c r="B9" s="221" t="s">
        <v>113</v>
      </c>
      <c r="C9" s="63"/>
      <c r="D9" s="63"/>
      <c r="E9" s="63"/>
      <c r="F9" s="63"/>
      <c r="G9" s="63"/>
      <c r="H9" s="63"/>
    </row>
    <row r="10" spans="1:8" ht="20.25" x14ac:dyDescent="0.3">
      <c r="A10" s="220" t="s">
        <v>71</v>
      </c>
      <c r="B10" s="222" t="s">
        <v>114</v>
      </c>
      <c r="C10" s="63"/>
      <c r="D10" s="63"/>
      <c r="E10" s="63"/>
      <c r="F10" s="63"/>
      <c r="G10" s="63"/>
      <c r="H10" s="63"/>
    </row>
    <row r="11" spans="1:8" ht="20.25" x14ac:dyDescent="0.3">
      <c r="A11" s="220" t="s">
        <v>110</v>
      </c>
      <c r="B11" s="222" t="s">
        <v>114</v>
      </c>
      <c r="C11" s="63"/>
      <c r="D11" s="63"/>
      <c r="E11" s="63"/>
      <c r="F11" s="63"/>
      <c r="G11" s="63"/>
      <c r="H11" s="63"/>
    </row>
    <row r="12" spans="1:8" x14ac:dyDescent="0.25">
      <c r="A12" s="63"/>
      <c r="B12" s="63"/>
      <c r="C12" s="63"/>
      <c r="D12" s="63"/>
      <c r="E12" s="63"/>
      <c r="F12" s="63"/>
      <c r="G12" s="63"/>
      <c r="H12" s="63"/>
    </row>
    <row r="13" spans="1:8" x14ac:dyDescent="0.25">
      <c r="A13" s="63" t="s">
        <v>111</v>
      </c>
      <c r="B13" s="63"/>
      <c r="C13" s="63"/>
      <c r="D13" s="63"/>
      <c r="E13" s="63"/>
      <c r="F13" s="63"/>
      <c r="G13" s="63"/>
      <c r="H13" s="63"/>
    </row>
    <row r="14" spans="1:8" x14ac:dyDescent="0.25">
      <c r="A14" s="63"/>
      <c r="B14" s="63"/>
      <c r="C14" s="63"/>
      <c r="D14" s="63"/>
      <c r="E14" s="63"/>
      <c r="F14" s="63"/>
      <c r="G14" s="63"/>
      <c r="H14" s="63"/>
    </row>
    <row r="15" spans="1:8" x14ac:dyDescent="0.25">
      <c r="A15" s="63"/>
      <c r="B15" s="63"/>
      <c r="C15" s="63"/>
      <c r="D15" s="63"/>
      <c r="E15" s="63"/>
      <c r="F15" s="63"/>
      <c r="G15" s="63"/>
      <c r="H15" s="63"/>
    </row>
    <row r="16" spans="1:8" x14ac:dyDescent="0.25">
      <c r="A16" s="63" t="s">
        <v>60</v>
      </c>
      <c r="B16" s="63"/>
      <c r="C16" s="218" t="s">
        <v>69</v>
      </c>
      <c r="D16" s="218" t="s">
        <v>70</v>
      </c>
      <c r="E16" s="218" t="s">
        <v>71</v>
      </c>
      <c r="F16" s="218" t="s">
        <v>110</v>
      </c>
      <c r="G16" s="63"/>
      <c r="H16" s="63"/>
    </row>
    <row r="17" spans="1:8" ht="23.25" x14ac:dyDescent="0.35">
      <c r="A17" s="217" t="s">
        <v>112</v>
      </c>
      <c r="B17" s="217"/>
      <c r="C17" s="219" t="s">
        <v>115</v>
      </c>
      <c r="D17" s="219" t="s">
        <v>115</v>
      </c>
      <c r="E17" s="219" t="s">
        <v>115</v>
      </c>
      <c r="F17" s="219" t="s">
        <v>115</v>
      </c>
      <c r="G17" s="63"/>
      <c r="H17" s="63"/>
    </row>
    <row r="18" spans="1:8" x14ac:dyDescent="0.25">
      <c r="A18" s="63"/>
      <c r="B18" s="63"/>
      <c r="C18" s="63"/>
      <c r="D18" s="63"/>
      <c r="E18" s="63"/>
      <c r="F18" s="63"/>
      <c r="G18" s="63"/>
      <c r="H18" s="63"/>
    </row>
    <row r="19" spans="1:8" x14ac:dyDescent="0.25">
      <c r="A19" s="63"/>
      <c r="B19" s="63"/>
      <c r="C19" s="63"/>
      <c r="D19" s="63"/>
      <c r="E19" s="63"/>
      <c r="F19" s="63"/>
      <c r="G19" s="63"/>
      <c r="H19" s="63"/>
    </row>
    <row r="20" spans="1:8" x14ac:dyDescent="0.25">
      <c r="A20" s="63"/>
      <c r="B20" s="63"/>
      <c r="C20" s="63"/>
      <c r="D20" s="63"/>
      <c r="E20" s="63"/>
      <c r="F20" s="63"/>
      <c r="G20" s="63"/>
      <c r="H20" s="63"/>
    </row>
    <row r="21" spans="1:8" x14ac:dyDescent="0.25">
      <c r="A21" s="63"/>
      <c r="B21" s="63"/>
      <c r="C21" s="63"/>
      <c r="D21" s="63"/>
      <c r="E21" s="63"/>
      <c r="F21" s="63"/>
      <c r="G21" s="63"/>
      <c r="H21" s="63"/>
    </row>
    <row r="22" spans="1:8" x14ac:dyDescent="0.25">
      <c r="A22" s="63"/>
      <c r="B22" s="63"/>
      <c r="C22" s="63"/>
      <c r="D22" s="63"/>
      <c r="E22" s="63"/>
      <c r="F22" s="63"/>
      <c r="G22" s="63"/>
      <c r="H22" s="63"/>
    </row>
    <row r="23" spans="1:8" x14ac:dyDescent="0.25">
      <c r="A23" s="63"/>
      <c r="B23" s="63"/>
      <c r="C23" s="63"/>
      <c r="D23" s="63"/>
      <c r="E23" s="63"/>
      <c r="F23" s="63"/>
      <c r="G23" s="63"/>
      <c r="H23" s="63"/>
    </row>
    <row r="24" spans="1:8" x14ac:dyDescent="0.25">
      <c r="A24" s="63"/>
      <c r="B24" s="63"/>
      <c r="C24" s="63"/>
      <c r="D24" s="63"/>
      <c r="E24" s="63"/>
      <c r="F24" s="63"/>
      <c r="G24" s="63"/>
      <c r="H24" s="63"/>
    </row>
    <row r="25" spans="1:8" x14ac:dyDescent="0.25">
      <c r="A25" s="63"/>
      <c r="B25" s="63"/>
      <c r="C25" s="63"/>
      <c r="D25" s="63"/>
      <c r="E25" s="63"/>
      <c r="F25" s="63"/>
      <c r="G25" s="63"/>
      <c r="H25" s="63"/>
    </row>
    <row r="26" spans="1:8" x14ac:dyDescent="0.25">
      <c r="A26" s="63"/>
      <c r="B26" s="63"/>
      <c r="C26" s="63"/>
      <c r="D26" s="63"/>
      <c r="E26" s="63"/>
      <c r="F26" s="63"/>
      <c r="G26" s="63"/>
      <c r="H26" s="63"/>
    </row>
    <row r="27" spans="1:8" x14ac:dyDescent="0.25">
      <c r="A27" s="63"/>
      <c r="B27" s="63"/>
      <c r="C27" s="63"/>
      <c r="D27" s="63"/>
      <c r="E27" s="63"/>
      <c r="F27" s="63"/>
      <c r="G27" s="63"/>
      <c r="H27" s="63"/>
    </row>
    <row r="28" spans="1:8" x14ac:dyDescent="0.25">
      <c r="A28" s="63"/>
      <c r="B28" s="63"/>
      <c r="C28" s="63"/>
      <c r="D28" s="63"/>
      <c r="E28" s="63"/>
      <c r="F28" s="63"/>
      <c r="G28" s="63"/>
      <c r="H28" s="63"/>
    </row>
    <row r="29" spans="1:8" x14ac:dyDescent="0.25">
      <c r="A29" s="63"/>
      <c r="B29" s="63"/>
      <c r="C29" s="63"/>
      <c r="D29" s="63"/>
      <c r="E29" s="63"/>
      <c r="F29" s="63"/>
      <c r="G29" s="63"/>
      <c r="H29" s="63"/>
    </row>
    <row r="30" spans="1:8" x14ac:dyDescent="0.25">
      <c r="A30" s="63"/>
      <c r="B30" s="63"/>
      <c r="C30" s="63"/>
      <c r="D30" s="63"/>
      <c r="E30" s="63"/>
      <c r="F30" s="63"/>
      <c r="G30" s="63"/>
      <c r="H30" s="63"/>
    </row>
    <row r="31" spans="1:8" x14ac:dyDescent="0.25">
      <c r="A31" s="63"/>
      <c r="B31" s="63"/>
      <c r="C31" s="63"/>
      <c r="D31" s="63"/>
      <c r="E31" s="63"/>
      <c r="F31" s="63"/>
      <c r="G31" s="63"/>
      <c r="H31" s="63"/>
    </row>
    <row r="32" spans="1:8" x14ac:dyDescent="0.25">
      <c r="A32" s="63"/>
      <c r="B32" s="63"/>
      <c r="C32" s="63"/>
      <c r="D32" s="63"/>
      <c r="E32" s="63"/>
      <c r="F32" s="63"/>
      <c r="G32" s="63"/>
      <c r="H32" s="63"/>
    </row>
    <row r="33" spans="1:8" x14ac:dyDescent="0.25">
      <c r="A33" s="63"/>
      <c r="B33" s="63"/>
      <c r="C33" s="63"/>
      <c r="D33" s="63"/>
      <c r="E33" s="63"/>
      <c r="F33" s="63"/>
      <c r="G33" s="63"/>
      <c r="H33" s="63"/>
    </row>
  </sheetData>
  <mergeCells count="2">
    <mergeCell ref="B6:C6"/>
    <mergeCell ref="A17:B1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 TECNICA</vt:lpstr>
      <vt:lpstr>CONFECCION</vt:lpstr>
      <vt:lpstr>PRODUCCION</vt:lpstr>
      <vt:lpstr>PROCESO 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2025-12-13T20:45:20Z</cp:lastPrinted>
  <dcterms:created xsi:type="dcterms:W3CDTF">2023-10-31T20:19:37Z</dcterms:created>
  <dcterms:modified xsi:type="dcterms:W3CDTF">2026-01-06T23:54:19Z</dcterms:modified>
  <dc:language>es-MX</dc:language>
</cp:coreProperties>
</file>