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OPTIMA\O987 OMBLIGUERA SIZADA MAS BARATA     D2532\"/>
    </mc:Choice>
  </mc:AlternateContent>
  <xr:revisionPtr revIDLastSave="0" documentId="13_ncr:1_{18A237BE-9E40-4EE4-9344-D9AB793F2677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FICHA TECNICA" sheetId="1" r:id="rId1"/>
    <sheet name="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3" i="1" l="1"/>
  <c r="I13" i="1"/>
</calcChain>
</file>

<file path=xl/sharedStrings.xml><?xml version="1.0" encoding="utf-8"?>
<sst xmlns="http://schemas.openxmlformats.org/spreadsheetml/2006/main" count="104" uniqueCount="43">
  <si>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</si>
  <si>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</si>
  <si>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</si>
  <si>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</si>
  <si>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</si>
  <si>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</si>
  <si>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</si>
  <si>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</si>
  <si>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</si>
  <si>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</si>
  <si>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</si>
  <si>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NYLON</t>
  </si>
  <si>
    <t>%</t>
  </si>
  <si>
    <t>70/68</t>
  </si>
  <si>
    <t>ENHEBRADO</t>
  </si>
  <si>
    <t>20/70/68</t>
  </si>
  <si>
    <t>CHICA</t>
  </si>
  <si>
    <t>GRANDE</t>
  </si>
  <si>
    <t>-</t>
  </si>
  <si>
    <t>PESO + 10%:</t>
  </si>
  <si>
    <t>REMATE</t>
  </si>
  <si>
    <t>GUATEMALA</t>
  </si>
  <si>
    <r>
      <rPr>
        <b/>
        <sz val="11"/>
        <color rgb="FF000000"/>
        <rFont val="Consolas"/>
        <family val="3"/>
      </rPr>
      <t>G</t>
    </r>
    <r>
      <rPr>
        <b/>
        <sz val="10"/>
        <color rgb="FF000000"/>
        <rFont val="Consolas"/>
        <family val="3"/>
      </rPr>
      <t>.</t>
    </r>
    <r>
      <rPr>
        <b/>
        <sz val="14"/>
        <color rgb="FF000000"/>
        <rFont val="Consolas"/>
        <family val="3"/>
      </rPr>
      <t>HILO</t>
    </r>
  </si>
  <si>
    <t>SIS.</t>
  </si>
  <si>
    <t>TIPO DE MAQUINA</t>
  </si>
  <si>
    <t>#2</t>
  </si>
  <si>
    <t>#3</t>
  </si>
  <si>
    <t>CHICA-MEDIANA</t>
  </si>
  <si>
    <t>GRANDE-EXTRA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</si>
  <si>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</si>
  <si>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ESTIRAJE</t>
  </si>
  <si>
    <t>CH/M</t>
  </si>
  <si>
    <t>OMBLIGUERA/CUELLO</t>
  </si>
  <si>
    <t>OMBLIGUERA SISADA MAS BARATA (PURO DUBAI)</t>
  </si>
  <si>
    <t>O987O38M</t>
  </si>
  <si>
    <t>CODIGOS</t>
  </si>
  <si>
    <t>TIEMPOS</t>
  </si>
  <si>
    <t>O987O39X</t>
  </si>
  <si>
    <t>G/XG</t>
  </si>
  <si>
    <t>SANTONI TOP2V</t>
  </si>
  <si>
    <t>SANTONI TOPV2</t>
  </si>
  <si>
    <t>#6</t>
  </si>
  <si>
    <t>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</si>
</sst>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sz val="18"/>
      <color rgb="FF000000"/>
      <name val="Consolas"/>
      <family val="3"/>
      <charset val="1"/>
    </font>
    <font>
      <sz val="18"/>
      <color theme="0"/>
      <name val="Consolas"/>
      <family val="3"/>
      <charset val="1"/>
    </font>
    <font>
      <b/>
      <sz val="14"/>
      <color rgb="FFFFFF00"/>
      <name val="Consolas"/>
      <family val="3"/>
    </font>
    <font>
      <b/>
      <sz val="10"/>
      <color rgb="FF000000"/>
      <name val="Consolas"/>
      <family val="3"/>
    </font>
    <font>
      <b/>
      <sz val="14"/>
      <color rgb="FF0000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color theme="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color rgb="FF000000"/>
      <name val="Consolas"/>
      <family val="3"/>
    </font>
    <font>
      <sz val="11"/>
      <color theme="1"/>
      <name val="Consolas"/>
      <family val="3"/>
    </font>
    <font>
      <b/>
      <sz val="14"/>
      <color theme="0"/>
      <name val="Consolas"/>
      <family val="3"/>
    </font>
    <font>
      <b/>
      <sz val="12"/>
      <color theme="1"/>
      <name val="Consolas"/>
      <family val="3"/>
    </font>
    <font>
      <sz val="12"/>
      <color theme="1"/>
      <name val="Consolas"/>
      <family val="3"/>
    </font>
    <font>
      <sz val="12"/>
      <color rgb="FF000000"/>
      <name val="Consolas"/>
      <family val="3"/>
    </font>
    <font>
      <sz val="12"/>
      <name val="Consolas"/>
      <family val="3"/>
    </font>
    <font>
      <b/>
      <sz val="11"/>
      <color theme="0"/>
      <name val="Consolas"/>
      <family val="3"/>
    </font>
    <font>
      <sz val="11"/>
      <color theme="0"/>
      <name val="Consolas"/>
      <family val="3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rgb="FF7030A0"/>
        <bgColor rgb="FFFFFFCC"/>
      </patternFill>
    </fill>
    <fill>
      <patternFill patternType="solid">
        <fgColor theme="4" tint="-0.499984740745262"/>
        <bgColor rgb="FFFFFFCC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8" tint="-0.249977111117893"/>
        <bgColor rgb="FFFFFFCC"/>
      </patternFill>
    </fill>
    <fill>
      <patternFill patternType="solid">
        <fgColor theme="8" tint="0.79998168889431442"/>
        <bgColor rgb="FFFFFFCC"/>
      </patternFill>
    </fill>
    <fill>
      <patternFill patternType="darkDown">
        <fgColor rgb="FFFF0000"/>
        <bgColor theme="1"/>
      </patternFill>
    </fill>
    <fill>
      <patternFill patternType="darkDown">
        <fgColor rgb="FFFF0000"/>
        <bgColor theme="5" tint="-0.249977111117893"/>
      </patternFill>
    </fill>
    <fill>
      <patternFill patternType="darkDown">
        <fgColor rgb="FFFF0000"/>
        <bgColor theme="6" tint="-0.499984740745262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25">
    <xf numFmtId="0" fontId="0" fillId="0" borderId="0" xfId="0"/>
    <xf numFmtId="0" fontId="1" fillId="0" borderId="0" xfId="0" applyFont="1"/>
    <xf numFmtId="0" fontId="6" fillId="2" borderId="8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45" fontId="8" fillId="2" borderId="8" xfId="0" applyNumberFormat="1" applyFont="1" applyFill="1" applyBorder="1" applyAlignment="1">
      <alignment horizontal="center" vertical="center" wrapText="1"/>
    </xf>
    <xf numFmtId="45" fontId="8" fillId="2" borderId="16" xfId="0" applyNumberFormat="1" applyFont="1" applyFill="1" applyBorder="1" applyAlignment="1">
      <alignment horizontal="center" vertical="center" wrapText="1"/>
    </xf>
    <xf numFmtId="45" fontId="8" fillId="2" borderId="17" xfId="0" applyNumberFormat="1" applyFont="1" applyFill="1" applyBorder="1" applyAlignment="1">
      <alignment horizontal="center" vertical="center" wrapText="1"/>
    </xf>
    <xf numFmtId="45" fontId="8" fillId="2" borderId="18" xfId="0" applyNumberFormat="1" applyFont="1" applyFill="1" applyBorder="1" applyAlignment="1">
      <alignment horizontal="center" vertical="center" wrapText="1"/>
    </xf>
    <xf numFmtId="45" fontId="9" fillId="8" borderId="8" xfId="0" applyNumberFormat="1" applyFont="1" applyFill="1" applyBorder="1" applyAlignment="1">
      <alignment horizontal="center" vertical="center" wrapText="1"/>
    </xf>
    <xf numFmtId="45" fontId="9" fillId="9" borderId="16" xfId="0" applyNumberFormat="1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vertical="center" wrapText="1"/>
    </xf>
    <xf numFmtId="0" fontId="3" fillId="7" borderId="0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24" fillId="15" borderId="20" xfId="0" applyFont="1" applyFill="1" applyBorder="1" applyAlignment="1">
      <alignment horizontal="center" vertical="center" wrapText="1"/>
    </xf>
    <xf numFmtId="0" fontId="24" fillId="15" borderId="21" xfId="0" applyFont="1" applyFill="1" applyBorder="1" applyAlignment="1">
      <alignment horizontal="center" vertical="center" wrapText="1"/>
    </xf>
    <xf numFmtId="0" fontId="24" fillId="15" borderId="3" xfId="0" applyFont="1" applyFill="1" applyBorder="1" applyAlignment="1">
      <alignment horizontal="center" vertical="center" wrapText="1"/>
    </xf>
    <xf numFmtId="0" fontId="24" fillId="15" borderId="4" xfId="0" applyFont="1" applyFill="1" applyBorder="1" applyAlignment="1">
      <alignment horizontal="center" vertical="center" wrapText="1"/>
    </xf>
    <xf numFmtId="0" fontId="24" fillId="15" borderId="6" xfId="0" applyFont="1" applyFill="1" applyBorder="1" applyAlignment="1">
      <alignment horizontal="center" vertical="center" wrapText="1"/>
    </xf>
    <xf numFmtId="0" fontId="24" fillId="15" borderId="7" xfId="0" applyFont="1" applyFill="1" applyBorder="1" applyAlignment="1">
      <alignment horizontal="center" vertical="center" wrapText="1"/>
    </xf>
    <xf numFmtId="164" fontId="10" fillId="6" borderId="8" xfId="0" applyNumberFormat="1" applyFont="1" applyFill="1" applyBorder="1" applyAlignment="1">
      <alignment horizontal="center" vertical="center" wrapText="1"/>
    </xf>
    <xf numFmtId="164" fontId="10" fillId="6" borderId="11" xfId="0" applyNumberFormat="1" applyFont="1" applyFill="1" applyBorder="1" applyAlignment="1">
      <alignment horizontal="center" vertical="center" wrapText="1"/>
    </xf>
    <xf numFmtId="164" fontId="10" fillId="6" borderId="9" xfId="0" applyNumberFormat="1" applyFont="1" applyFill="1" applyBorder="1" applyAlignment="1">
      <alignment horizontal="center" vertical="center" wrapText="1"/>
    </xf>
    <xf numFmtId="164" fontId="10" fillId="6" borderId="12" xfId="0" applyNumberFormat="1" applyFont="1" applyFill="1" applyBorder="1" applyAlignment="1">
      <alignment horizontal="center" vertical="center" wrapText="1"/>
    </xf>
    <xf numFmtId="0" fontId="26" fillId="4" borderId="15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6" fillId="4" borderId="10" xfId="0" applyFont="1" applyFill="1" applyBorder="1" applyAlignment="1">
      <alignment horizontal="center" vertical="center" wrapText="1"/>
    </xf>
    <xf numFmtId="0" fontId="26" fillId="4" borderId="6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10" fillId="5" borderId="17" xfId="0" applyFont="1" applyFill="1" applyBorder="1" applyAlignment="1">
      <alignment horizontal="right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 wrapText="1"/>
    </xf>
    <xf numFmtId="0" fontId="22" fillId="13" borderId="3" xfId="0" applyFont="1" applyFill="1" applyBorder="1" applyAlignment="1">
      <alignment horizontal="center" vertical="center" wrapText="1"/>
    </xf>
    <xf numFmtId="0" fontId="22" fillId="13" borderId="4" xfId="0" applyFont="1" applyFill="1" applyBorder="1" applyAlignment="1">
      <alignment horizontal="center" vertical="center" wrapText="1"/>
    </xf>
    <xf numFmtId="0" fontId="22" fillId="13" borderId="6" xfId="0" applyFont="1" applyFill="1" applyBorder="1" applyAlignment="1">
      <alignment horizontal="center" vertical="center" wrapText="1"/>
    </xf>
    <xf numFmtId="0" fontId="22" fillId="13" borderId="7" xfId="0" applyFont="1" applyFill="1" applyBorder="1" applyAlignment="1">
      <alignment horizontal="center" vertical="center" wrapText="1"/>
    </xf>
    <xf numFmtId="45" fontId="18" fillId="13" borderId="3" xfId="0" applyNumberFormat="1" applyFont="1" applyFill="1" applyBorder="1" applyAlignment="1">
      <alignment horizontal="center" vertical="center" wrapText="1"/>
    </xf>
    <xf numFmtId="45" fontId="18" fillId="13" borderId="6" xfId="0" applyNumberFormat="1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right" vertical="center" wrapText="1"/>
    </xf>
    <xf numFmtId="0" fontId="10" fillId="5" borderId="8" xfId="0" applyFont="1" applyFill="1" applyBorder="1" applyAlignment="1">
      <alignment horizontal="right" vertical="center" wrapText="1"/>
    </xf>
    <xf numFmtId="46" fontId="14" fillId="11" borderId="4" xfId="0" applyNumberFormat="1" applyFont="1" applyFill="1" applyBorder="1" applyAlignment="1">
      <alignment horizontal="center" vertical="center" wrapText="1"/>
    </xf>
    <xf numFmtId="46" fontId="14" fillId="11" borderId="7" xfId="0" applyNumberFormat="1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14" fillId="11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 wrapText="1"/>
    </xf>
    <xf numFmtId="0" fontId="17" fillId="12" borderId="9" xfId="0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horizontal="center" vertical="center" wrapText="1"/>
    </xf>
    <xf numFmtId="0" fontId="17" fillId="12" borderId="7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19" fillId="13" borderId="6" xfId="0" applyFont="1" applyFill="1" applyBorder="1" applyAlignment="1">
      <alignment horizontal="center" vertical="center" wrapText="1"/>
    </xf>
    <xf numFmtId="0" fontId="17" fillId="10" borderId="8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18" fillId="13" borderId="3" xfId="0" applyFont="1" applyFill="1" applyBorder="1" applyAlignment="1">
      <alignment horizontal="center" vertical="center" wrapText="1"/>
    </xf>
    <xf numFmtId="0" fontId="18" fillId="13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4" fillId="16" borderId="20" xfId="0" applyFont="1" applyFill="1" applyBorder="1" applyAlignment="1">
      <alignment horizontal="center" vertical="center" wrapText="1"/>
    </xf>
    <xf numFmtId="0" fontId="24" fillId="16" borderId="21" xfId="0" applyFont="1" applyFill="1" applyBorder="1" applyAlignment="1">
      <alignment horizontal="center" vertical="center" wrapText="1"/>
    </xf>
    <xf numFmtId="45" fontId="18" fillId="3" borderId="8" xfId="0" applyNumberFormat="1" applyFont="1" applyFill="1" applyBorder="1" applyAlignment="1">
      <alignment horizontal="center" vertical="center" wrapText="1"/>
    </xf>
    <xf numFmtId="45" fontId="18" fillId="3" borderId="3" xfId="0" applyNumberFormat="1" applyFont="1" applyFill="1" applyBorder="1" applyAlignment="1">
      <alignment horizontal="center" vertical="center" wrapText="1"/>
    </xf>
    <xf numFmtId="45" fontId="18" fillId="3" borderId="9" xfId="0" applyNumberFormat="1" applyFont="1" applyFill="1" applyBorder="1" applyAlignment="1">
      <alignment horizontal="center" vertical="center" wrapText="1"/>
    </xf>
    <xf numFmtId="45" fontId="18" fillId="3" borderId="6" xfId="0" applyNumberFormat="1" applyFont="1" applyFill="1" applyBorder="1" applyAlignment="1">
      <alignment horizontal="center" vertical="center" wrapText="1"/>
    </xf>
    <xf numFmtId="46" fontId="19" fillId="3" borderId="4" xfId="0" applyNumberFormat="1" applyFont="1" applyFill="1" applyBorder="1" applyAlignment="1">
      <alignment horizontal="center" vertical="center" wrapText="1"/>
    </xf>
    <xf numFmtId="46" fontId="19" fillId="3" borderId="7" xfId="0" applyNumberFormat="1" applyFont="1" applyFill="1" applyBorder="1" applyAlignment="1">
      <alignment horizontal="center" vertical="center" wrapText="1"/>
    </xf>
    <xf numFmtId="0" fontId="24" fillId="14" borderId="8" xfId="0" applyFont="1" applyFill="1" applyBorder="1" applyAlignment="1">
      <alignment horizontal="center" vertical="center" wrapText="1"/>
    </xf>
    <xf numFmtId="0" fontId="24" fillId="14" borderId="11" xfId="0" applyFont="1" applyFill="1" applyBorder="1" applyAlignment="1">
      <alignment horizontal="center" vertical="center" wrapText="1"/>
    </xf>
    <xf numFmtId="0" fontId="24" fillId="14" borderId="9" xfId="0" applyFont="1" applyFill="1" applyBorder="1" applyAlignment="1">
      <alignment horizontal="center" vertical="center" wrapText="1"/>
    </xf>
    <xf numFmtId="0" fontId="24" fillId="14" borderId="12" xfId="0" applyFont="1" applyFill="1" applyBorder="1" applyAlignment="1">
      <alignment horizontal="center" vertical="center" wrapText="1"/>
    </xf>
    <xf numFmtId="46" fontId="19" fillId="13" borderId="3" xfId="0" applyNumberFormat="1" applyFont="1" applyFill="1" applyBorder="1" applyAlignment="1">
      <alignment horizontal="center" vertical="center" wrapText="1"/>
    </xf>
    <xf numFmtId="46" fontId="19" fillId="13" borderId="6" xfId="0" applyNumberFormat="1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2" fillId="11" borderId="20" xfId="0" applyFont="1" applyFill="1" applyBorder="1" applyAlignment="1">
      <alignment horizontal="center" vertical="center" wrapText="1"/>
    </xf>
    <xf numFmtId="0" fontId="2" fillId="11" borderId="21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2" fillId="11" borderId="7" xfId="0" applyFont="1" applyFill="1" applyBorder="1" applyAlignment="1">
      <alignment horizontal="center" vertical="center" wrapText="1"/>
    </xf>
    <xf numFmtId="0" fontId="12" fillId="11" borderId="20" xfId="0" applyFont="1" applyFill="1" applyBorder="1" applyAlignment="1">
      <alignment horizontal="center" vertical="center" wrapText="1"/>
    </xf>
    <xf numFmtId="0" fontId="12" fillId="11" borderId="21" xfId="0" applyFont="1" applyFill="1" applyBorder="1" applyAlignment="1">
      <alignment horizontal="center" vertical="center" wrapText="1"/>
    </xf>
    <xf numFmtId="0" fontId="22" fillId="11" borderId="3" xfId="0" applyFont="1" applyFill="1" applyBorder="1" applyAlignment="1">
      <alignment horizontal="center" vertical="center" wrapText="1"/>
    </xf>
    <xf numFmtId="0" fontId="22" fillId="11" borderId="4" xfId="0" applyFont="1" applyFill="1" applyBorder="1" applyAlignment="1">
      <alignment horizontal="center" vertical="center" wrapText="1"/>
    </xf>
    <xf numFmtId="0" fontId="22" fillId="11" borderId="6" xfId="0" applyFont="1" applyFill="1" applyBorder="1" applyAlignment="1">
      <alignment horizontal="center" vertical="center" wrapText="1"/>
    </xf>
    <xf numFmtId="0" fontId="22" fillId="11" borderId="7" xfId="0" applyFont="1" applyFill="1" applyBorder="1" applyAlignment="1">
      <alignment horizontal="center" vertical="center" wrapText="1"/>
    </xf>
    <xf numFmtId="45" fontId="13" fillId="11" borderId="8" xfId="0" applyNumberFormat="1" applyFont="1" applyFill="1" applyBorder="1" applyAlignment="1">
      <alignment horizontal="center" vertical="center" wrapText="1"/>
    </xf>
    <xf numFmtId="45" fontId="13" fillId="11" borderId="3" xfId="0" applyNumberFormat="1" applyFont="1" applyFill="1" applyBorder="1" applyAlignment="1">
      <alignment horizontal="center" vertical="center" wrapText="1"/>
    </xf>
    <xf numFmtId="45" fontId="13" fillId="11" borderId="9" xfId="0" applyNumberFormat="1" applyFont="1" applyFill="1" applyBorder="1" applyAlignment="1">
      <alignment horizontal="center" vertical="center" wrapText="1"/>
    </xf>
    <xf numFmtId="45" fontId="13" fillId="11" borderId="6" xfId="0" applyNumberFormat="1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7" fillId="11" borderId="20" xfId="0" applyFont="1" applyFill="1" applyBorder="1" applyAlignment="1">
      <alignment horizontal="center" vertical="center" wrapText="1"/>
    </xf>
    <xf numFmtId="0" fontId="27" fillId="11" borderId="21" xfId="0" applyFont="1" applyFill="1" applyBorder="1" applyAlignment="1">
      <alignment horizontal="center" vertical="center" wrapText="1"/>
    </xf>
    <xf numFmtId="0" fontId="27" fillId="11" borderId="15" xfId="0" applyFont="1" applyFill="1" applyBorder="1" applyAlignment="1">
      <alignment horizontal="center" vertical="center" wrapText="1"/>
    </xf>
    <xf numFmtId="0" fontId="27" fillId="11" borderId="4" xfId="0" applyFont="1" applyFill="1" applyBorder="1" applyAlignment="1">
      <alignment horizontal="center" vertical="center" wrapText="1"/>
    </xf>
    <xf numFmtId="0" fontId="27" fillId="11" borderId="10" xfId="0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center" vertical="center" wrapText="1"/>
    </xf>
    <xf numFmtId="0" fontId="12" fillId="13" borderId="20" xfId="0" applyFont="1" applyFill="1" applyBorder="1" applyAlignment="1">
      <alignment horizontal="center" vertical="center" wrapText="1"/>
    </xf>
    <xf numFmtId="0" fontId="12" fillId="13" borderId="21" xfId="0" applyFont="1" applyFill="1" applyBorder="1" applyAlignment="1">
      <alignment horizontal="center" vertical="center" wrapText="1"/>
    </xf>
    <xf numFmtId="0" fontId="28" fillId="3" borderId="20" xfId="0" applyFont="1" applyFill="1" applyBorder="1" applyAlignment="1">
      <alignment horizontal="center" vertical="center" wrapText="1"/>
    </xf>
    <xf numFmtId="0" fontId="28" fillId="3" borderId="21" xfId="0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49" fontId="27" fillId="11" borderId="15" xfId="0" applyNumberFormat="1" applyFont="1" applyFill="1" applyBorder="1" applyAlignment="1">
      <alignment horizontal="center" vertical="center" wrapText="1"/>
    </xf>
    <xf numFmtId="49" fontId="27" fillId="11" borderId="4" xfId="0" applyNumberFormat="1" applyFont="1" applyFill="1" applyBorder="1" applyAlignment="1">
      <alignment horizontal="center" vertical="center" wrapText="1"/>
    </xf>
    <xf numFmtId="49" fontId="27" fillId="11" borderId="10" xfId="0" applyNumberFormat="1" applyFont="1" applyFill="1" applyBorder="1" applyAlignment="1">
      <alignment horizontal="center" vertical="center" wrapText="1"/>
    </xf>
    <xf numFmtId="49" fontId="27" fillId="11" borderId="7" xfId="0" applyNumberFormat="1" applyFont="1" applyFill="1" applyBorder="1" applyAlignment="1">
      <alignment horizontal="center" vertical="center" wrapText="1"/>
    </xf>
    <xf numFmtId="0" fontId="27" fillId="13" borderId="20" xfId="0" applyFont="1" applyFill="1" applyBorder="1" applyAlignment="1">
      <alignment horizontal="center" vertical="center" wrapText="1"/>
    </xf>
    <xf numFmtId="0" fontId="27" fillId="13" borderId="21" xfId="0" applyFont="1" applyFill="1" applyBorder="1" applyAlignment="1">
      <alignment horizontal="center" vertical="center" wrapText="1"/>
    </xf>
    <xf numFmtId="49" fontId="27" fillId="13" borderId="15" xfId="0" applyNumberFormat="1" applyFont="1" applyFill="1" applyBorder="1" applyAlignment="1">
      <alignment horizontal="center" vertical="center" wrapText="1"/>
    </xf>
    <xf numFmtId="49" fontId="27" fillId="13" borderId="4" xfId="0" applyNumberFormat="1" applyFont="1" applyFill="1" applyBorder="1" applyAlignment="1">
      <alignment horizontal="center" vertical="center" wrapText="1"/>
    </xf>
    <xf numFmtId="49" fontId="27" fillId="13" borderId="10" xfId="0" applyNumberFormat="1" applyFont="1" applyFill="1" applyBorder="1" applyAlignment="1">
      <alignment horizontal="center" vertical="center" wrapText="1"/>
    </xf>
    <xf numFmtId="49" fontId="27" fillId="13" borderId="7" xfId="0" applyNumberFormat="1" applyFont="1" applyFill="1" applyBorder="1" applyAlignment="1">
      <alignment horizontal="center" vertical="center" wrapText="1"/>
    </xf>
    <xf numFmtId="0" fontId="28" fillId="3" borderId="15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0" fillId="5" borderId="8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24" fillId="16" borderId="3" xfId="0" applyFont="1" applyFill="1" applyBorder="1" applyAlignment="1">
      <alignment horizontal="center" vertical="center" wrapText="1"/>
    </xf>
    <xf numFmtId="0" fontId="24" fillId="16" borderId="4" xfId="0" applyFont="1" applyFill="1" applyBorder="1" applyAlignment="1">
      <alignment horizontal="center" vertical="center" wrapText="1"/>
    </xf>
    <xf numFmtId="0" fontId="24" fillId="16" borderId="6" xfId="0" applyFont="1" applyFill="1" applyBorder="1" applyAlignment="1">
      <alignment horizontal="center" vertical="center" wrapText="1"/>
    </xf>
    <xf numFmtId="0" fontId="24" fillId="16" borderId="7" xfId="0" applyFont="1" applyFill="1" applyBorder="1" applyAlignment="1">
      <alignment horizontal="center" vertical="center" wrapText="1"/>
    </xf>
    <xf numFmtId="0" fontId="27" fillId="13" borderId="15" xfId="0" applyFont="1" applyFill="1" applyBorder="1" applyAlignment="1">
      <alignment horizontal="center" vertical="center" wrapText="1"/>
    </xf>
    <xf numFmtId="0" fontId="27" fillId="13" borderId="4" xfId="0" applyFont="1" applyFill="1" applyBorder="1" applyAlignment="1">
      <alignment horizontal="center" vertical="center" wrapText="1"/>
    </xf>
    <xf numFmtId="0" fontId="27" fillId="13" borderId="10" xfId="0" applyFont="1" applyFill="1" applyBorder="1" applyAlignment="1">
      <alignment horizontal="center" vertical="center" wrapText="1"/>
    </xf>
    <xf numFmtId="0" fontId="27" fillId="13" borderId="7" xfId="0" applyFont="1" applyFill="1" applyBorder="1" applyAlignment="1">
      <alignment horizontal="center" vertical="center" wrapText="1"/>
    </xf>
    <xf numFmtId="0" fontId="18" fillId="13" borderId="20" xfId="0" applyFont="1" applyFill="1" applyBorder="1" applyAlignment="1">
      <alignment horizontal="center" vertical="center" wrapText="1"/>
    </xf>
    <xf numFmtId="0" fontId="18" fillId="13" borderId="21" xfId="0" applyFont="1" applyFill="1" applyBorder="1" applyAlignment="1">
      <alignment horizontal="center" vertical="center" wrapText="1"/>
    </xf>
    <xf numFmtId="0" fontId="21" fillId="13" borderId="3" xfId="0" applyFont="1" applyFill="1" applyBorder="1" applyAlignment="1">
      <alignment horizontal="center" vertical="center" wrapText="1"/>
    </xf>
    <xf numFmtId="0" fontId="21" fillId="13" borderId="4" xfId="0" applyFont="1" applyFill="1" applyBorder="1" applyAlignment="1">
      <alignment horizontal="center" vertical="center" wrapText="1"/>
    </xf>
    <xf numFmtId="0" fontId="21" fillId="13" borderId="6" xfId="0" applyFont="1" applyFill="1" applyBorder="1" applyAlignment="1">
      <alignment horizontal="center" vertical="center" wrapText="1"/>
    </xf>
    <xf numFmtId="0" fontId="21" fillId="13" borderId="7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 wrapText="1"/>
    </xf>
    <xf numFmtId="0" fontId="29" fillId="14" borderId="15" xfId="0" applyFont="1" applyFill="1" applyBorder="1" applyAlignment="1">
      <alignment horizontal="center" vertical="center" wrapText="1"/>
    </xf>
    <xf numFmtId="0" fontId="29" fillId="14" borderId="3" xfId="0" applyFont="1" applyFill="1" applyBorder="1" applyAlignment="1">
      <alignment horizontal="center" vertical="center" wrapText="1"/>
    </xf>
    <xf numFmtId="0" fontId="29" fillId="14" borderId="11" xfId="0" applyFont="1" applyFill="1" applyBorder="1" applyAlignment="1">
      <alignment horizontal="center" vertical="center" wrapText="1"/>
    </xf>
    <xf numFmtId="0" fontId="29" fillId="14" borderId="10" xfId="0" applyFont="1" applyFill="1" applyBorder="1" applyAlignment="1">
      <alignment horizontal="center" vertical="center" wrapText="1"/>
    </xf>
    <xf numFmtId="0" fontId="29" fillId="14" borderId="6" xfId="0" applyFont="1" applyFill="1" applyBorder="1" applyAlignment="1">
      <alignment horizontal="center" vertical="center" wrapText="1"/>
    </xf>
    <xf numFmtId="0" fontId="29" fillId="14" borderId="12" xfId="0" applyFont="1" applyFill="1" applyBorder="1" applyAlignment="1">
      <alignment horizontal="center" vertical="center" wrapText="1"/>
    </xf>
    <xf numFmtId="0" fontId="30" fillId="14" borderId="15" xfId="0" applyFont="1" applyFill="1" applyBorder="1" applyAlignment="1">
      <alignment horizontal="center" vertical="center" textRotation="45" wrapText="1"/>
    </xf>
    <xf numFmtId="0" fontId="30" fillId="14" borderId="4" xfId="0" applyFont="1" applyFill="1" applyBorder="1" applyAlignment="1">
      <alignment horizontal="center" vertical="center" textRotation="45" wrapText="1"/>
    </xf>
    <xf numFmtId="0" fontId="30" fillId="14" borderId="10" xfId="0" applyFont="1" applyFill="1" applyBorder="1" applyAlignment="1">
      <alignment horizontal="center" vertical="center" textRotation="45" wrapText="1"/>
    </xf>
    <xf numFmtId="0" fontId="30" fillId="14" borderId="7" xfId="0" applyFont="1" applyFill="1" applyBorder="1" applyAlignment="1">
      <alignment horizontal="center" vertical="center" textRotation="45" wrapText="1"/>
    </xf>
    <xf numFmtId="0" fontId="25" fillId="3" borderId="15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3" borderId="7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textRotation="45" wrapText="1"/>
    </xf>
    <xf numFmtId="0" fontId="23" fillId="4" borderId="4" xfId="0" applyFont="1" applyFill="1" applyBorder="1" applyAlignment="1">
      <alignment horizontal="center" vertical="center" textRotation="45" wrapText="1"/>
    </xf>
    <xf numFmtId="0" fontId="23" fillId="4" borderId="6" xfId="0" applyFont="1" applyFill="1" applyBorder="1" applyAlignment="1">
      <alignment horizontal="center" vertical="center" textRotation="45" wrapText="1"/>
    </xf>
    <xf numFmtId="0" fontId="23" fillId="4" borderId="7" xfId="0" applyFont="1" applyFill="1" applyBorder="1" applyAlignment="1">
      <alignment horizontal="center" vertical="center" textRotation="45" wrapText="1"/>
    </xf>
    <xf numFmtId="0" fontId="26" fillId="4" borderId="4" xfId="0" applyFont="1" applyFill="1" applyBorder="1" applyAlignment="1">
      <alignment horizontal="center" vertical="center" wrapText="1"/>
    </xf>
    <xf numFmtId="0" fontId="26" fillId="4" borderId="7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22050</xdr:colOff>
      <xdr:row>6</xdr:row>
      <xdr:rowOff>47625</xdr:rowOff>
    </xdr:from>
    <xdr:to>
      <xdr:col>3</xdr:col>
      <xdr:colOff>590550</xdr:colOff>
      <xdr:row>15</xdr:row>
      <xdr:rowOff>189866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362A9A-945E-42D1-BDBB-35C72FF044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85" r="15252"/>
        <a:stretch/>
      </xdr:blipFill>
      <xdr:spPr>
        <a:xfrm>
          <a:off x="41100" y="1019175"/>
          <a:ext cx="1263825" cy="19424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4"/>
  <sheetViews>
    <sheetView showGridLines="0" tabSelected="1" zoomScaleNormal="100" workbookViewId="0">
      <selection activeCell="D23" sqref="D23:F23"/>
    </sheetView>
  </sheetViews>
  <sheetFormatPr baseColWidth="10" defaultColWidth="14.42578125" defaultRowHeight="15" x14ac:dyDescent="0.25"/>
  <cols>
    <col min="1" max="1" width="0.28515625" customWidth="1"/>
    <col min="2" max="2" width="5.140625" customWidth="1"/>
    <col min="3" max="3" width="5.28515625" customWidth="1"/>
    <col min="4" max="4" width="9.140625" customWidth="1"/>
    <col min="5" max="5" width="3.42578125" customWidth="1"/>
    <col min="6" max="6" width="2.5703125" customWidth="1"/>
    <col min="7" max="7" width="4.5703125" customWidth="1"/>
    <col min="8" max="8" width="6.85546875" customWidth="1"/>
    <col min="9" max="9" width="10.7109375" customWidth="1"/>
    <col min="10" max="10" width="8.7109375" customWidth="1"/>
    <col min="11" max="11" width="5.7109375" customWidth="1"/>
    <col min="12" max="12" width="10.7109375" customWidth="1"/>
    <col min="13" max="13" width="8.7109375" customWidth="1"/>
    <col min="14" max="14" width="5.7109375" customWidth="1"/>
    <col min="15" max="15" width="10.7109375" customWidth="1"/>
    <col min="16" max="16" width="8.7109375" customWidth="1"/>
    <col min="17" max="17" width="5.7109375" customWidth="1"/>
  </cols>
  <sheetData>
    <row r="1" spans="1:17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95" customHeight="1" x14ac:dyDescent="0.25">
      <c r="B2" s="175" t="s">
        <v>1</v>
      </c>
      <c r="C2" s="176"/>
      <c r="D2" s="176"/>
      <c r="E2" s="66" t="s">
        <v>2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8"/>
    </row>
    <row r="3" spans="1:17" ht="15.95" customHeight="1" thickBot="1" x14ac:dyDescent="0.3">
      <c r="B3" s="177"/>
      <c r="C3" s="178"/>
      <c r="D3" s="178"/>
      <c r="E3" s="69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1"/>
    </row>
    <row r="4" spans="1:17" ht="12.95" customHeight="1" x14ac:dyDescent="0.25">
      <c r="B4" s="14"/>
      <c r="C4" s="15"/>
      <c r="D4" s="15"/>
      <c r="E4" s="78" t="s">
        <v>33</v>
      </c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80"/>
    </row>
    <row r="5" spans="1:17" ht="12.75" customHeight="1" x14ac:dyDescent="0.25">
      <c r="B5" s="14"/>
      <c r="C5" s="15"/>
      <c r="D5" s="15"/>
      <c r="E5" s="78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</row>
    <row r="6" spans="1:17" ht="4.5" customHeight="1" thickBot="1" x14ac:dyDescent="0.3">
      <c r="B6" s="14"/>
      <c r="C6" s="15"/>
      <c r="D6" s="15"/>
      <c r="E6" s="81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3"/>
    </row>
    <row r="7" spans="1:17" ht="15.95" customHeight="1" thickBot="1" x14ac:dyDescent="0.3">
      <c r="B7" s="14"/>
      <c r="C7" s="15"/>
      <c r="D7" s="15"/>
      <c r="E7" s="42" t="s">
        <v>4</v>
      </c>
      <c r="F7" s="43"/>
      <c r="G7" s="43"/>
      <c r="H7" s="43"/>
      <c r="I7" s="88" t="s">
        <v>31</v>
      </c>
      <c r="J7" s="89"/>
      <c r="K7" s="90"/>
      <c r="L7" s="72" t="s">
        <v>38</v>
      </c>
      <c r="M7" s="73"/>
      <c r="N7" s="74"/>
      <c r="O7" s="36" t="s">
        <v>18</v>
      </c>
      <c r="P7" s="37"/>
      <c r="Q7" s="40"/>
    </row>
    <row r="8" spans="1:17" ht="15.95" customHeight="1" thickBot="1" x14ac:dyDescent="0.3">
      <c r="B8" s="14"/>
      <c r="C8" s="15"/>
      <c r="D8" s="15"/>
      <c r="E8" s="42"/>
      <c r="F8" s="43"/>
      <c r="G8" s="43"/>
      <c r="H8" s="43"/>
      <c r="I8" s="91"/>
      <c r="J8" s="92"/>
      <c r="K8" s="93"/>
      <c r="L8" s="75"/>
      <c r="M8" s="76"/>
      <c r="N8" s="77"/>
      <c r="O8" s="38"/>
      <c r="P8" s="39"/>
      <c r="Q8" s="41"/>
    </row>
    <row r="9" spans="1:17" ht="15.95" customHeight="1" thickBot="1" x14ac:dyDescent="0.3">
      <c r="B9" s="14"/>
      <c r="C9" s="15"/>
      <c r="D9" s="15"/>
      <c r="E9" s="42" t="s">
        <v>3</v>
      </c>
      <c r="F9" s="42"/>
      <c r="G9" s="42"/>
      <c r="H9" s="42"/>
      <c r="I9" s="102" t="s">
        <v>32</v>
      </c>
      <c r="J9" s="103"/>
      <c r="K9" s="103"/>
      <c r="L9" s="103"/>
      <c r="M9" s="103"/>
      <c r="N9" s="103"/>
      <c r="O9" s="103"/>
      <c r="P9" s="103"/>
      <c r="Q9" s="104"/>
    </row>
    <row r="10" spans="1:17" ht="15.95" customHeight="1" thickBot="1" x14ac:dyDescent="0.3">
      <c r="B10" s="14"/>
      <c r="C10" s="15"/>
      <c r="D10" s="15"/>
      <c r="E10" s="42"/>
      <c r="F10" s="42"/>
      <c r="G10" s="42"/>
      <c r="H10" s="42"/>
      <c r="I10" s="105"/>
      <c r="J10" s="106"/>
      <c r="K10" s="106"/>
      <c r="L10" s="106"/>
      <c r="M10" s="106"/>
      <c r="N10" s="106"/>
      <c r="O10" s="106"/>
      <c r="P10" s="106"/>
      <c r="Q10" s="107"/>
    </row>
    <row r="11" spans="1:17" ht="15.95" customHeight="1" thickBot="1" x14ac:dyDescent="0.3">
      <c r="B11" s="14"/>
      <c r="C11" s="15"/>
      <c r="D11" s="15"/>
      <c r="E11" s="42" t="s">
        <v>5</v>
      </c>
      <c r="F11" s="43"/>
      <c r="G11" s="43"/>
      <c r="H11" s="43"/>
      <c r="I11" s="94" t="s">
        <v>34</v>
      </c>
      <c r="J11" s="95"/>
      <c r="K11" s="96"/>
      <c r="L11" s="100" t="s">
        <v>37</v>
      </c>
      <c r="M11" s="100"/>
      <c r="N11" s="100"/>
      <c r="O11" s="36" t="s">
        <v>18</v>
      </c>
      <c r="P11" s="37"/>
      <c r="Q11" s="40"/>
    </row>
    <row r="12" spans="1:17" ht="15.95" customHeight="1" thickBot="1" x14ac:dyDescent="0.3">
      <c r="B12" s="14"/>
      <c r="C12" s="15"/>
      <c r="D12" s="15"/>
      <c r="E12" s="42"/>
      <c r="F12" s="43"/>
      <c r="G12" s="43"/>
      <c r="H12" s="43"/>
      <c r="I12" s="97"/>
      <c r="J12" s="98"/>
      <c r="K12" s="99"/>
      <c r="L12" s="101"/>
      <c r="M12" s="101"/>
      <c r="N12" s="101"/>
      <c r="O12" s="38"/>
      <c r="P12" s="39"/>
      <c r="Q12" s="41"/>
    </row>
    <row r="13" spans="1:17" ht="15.95" customHeight="1" thickBot="1" x14ac:dyDescent="0.3">
      <c r="B13" s="14"/>
      <c r="C13" s="15"/>
      <c r="D13" s="15"/>
      <c r="E13" s="42" t="s">
        <v>19</v>
      </c>
      <c r="F13" s="43"/>
      <c r="G13" s="43"/>
      <c r="H13" s="43"/>
      <c r="I13" s="94">
        <f>132*110%</f>
        <v>145.20000000000002</v>
      </c>
      <c r="J13" s="95"/>
      <c r="K13" s="64" t="s">
        <v>6</v>
      </c>
      <c r="L13" s="100">
        <f>140*110%</f>
        <v>154</v>
      </c>
      <c r="M13" s="100"/>
      <c r="N13" s="86" t="s">
        <v>6</v>
      </c>
      <c r="O13" s="36" t="s">
        <v>18</v>
      </c>
      <c r="P13" s="37"/>
      <c r="Q13" s="84" t="s">
        <v>6</v>
      </c>
    </row>
    <row r="14" spans="1:17" ht="15.95" customHeight="1" thickBot="1" x14ac:dyDescent="0.3">
      <c r="B14" s="14"/>
      <c r="C14" s="15"/>
      <c r="D14" s="15"/>
      <c r="E14" s="42"/>
      <c r="F14" s="43"/>
      <c r="G14" s="43"/>
      <c r="H14" s="43"/>
      <c r="I14" s="97"/>
      <c r="J14" s="98"/>
      <c r="K14" s="65"/>
      <c r="L14" s="101"/>
      <c r="M14" s="101"/>
      <c r="N14" s="87"/>
      <c r="O14" s="38"/>
      <c r="P14" s="39"/>
      <c r="Q14" s="85"/>
    </row>
    <row r="15" spans="1:17" ht="15.95" customHeight="1" thickBot="1" x14ac:dyDescent="0.3">
      <c r="B15" s="14"/>
      <c r="C15" s="15"/>
      <c r="D15" s="15"/>
      <c r="E15" s="42" t="s">
        <v>7</v>
      </c>
      <c r="F15" s="43"/>
      <c r="G15" s="43"/>
      <c r="H15" s="43"/>
      <c r="I15" s="140">
        <v>2.8124999999999999E-3</v>
      </c>
      <c r="J15" s="141"/>
      <c r="K15" s="62" t="s">
        <v>8</v>
      </c>
      <c r="L15" s="58">
        <v>2.8819444444444444E-3</v>
      </c>
      <c r="M15" s="58"/>
      <c r="N15" s="120" t="s">
        <v>8</v>
      </c>
      <c r="O15" s="110" t="s">
        <v>18</v>
      </c>
      <c r="P15" s="111"/>
      <c r="Q15" s="114" t="s">
        <v>8</v>
      </c>
    </row>
    <row r="16" spans="1:17" ht="15.95" customHeight="1" thickBot="1" x14ac:dyDescent="0.3">
      <c r="B16" s="16"/>
      <c r="C16" s="17"/>
      <c r="D16" s="17"/>
      <c r="E16" s="60"/>
      <c r="F16" s="61"/>
      <c r="G16" s="61"/>
      <c r="H16" s="61"/>
      <c r="I16" s="142"/>
      <c r="J16" s="143"/>
      <c r="K16" s="63"/>
      <c r="L16" s="59"/>
      <c r="M16" s="59"/>
      <c r="N16" s="121"/>
      <c r="O16" s="112"/>
      <c r="P16" s="113"/>
      <c r="Q16" s="115"/>
    </row>
    <row r="17" spans="2:17" ht="15.95" customHeight="1" x14ac:dyDescent="0.25">
      <c r="B17" s="122" t="s">
        <v>14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</row>
    <row r="18" spans="2:17" ht="15.95" customHeight="1" thickBot="1" x14ac:dyDescent="0.3">
      <c r="B18" s="125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</row>
    <row r="19" spans="2:17" ht="15.95" customHeight="1" x14ac:dyDescent="0.25">
      <c r="B19" s="179" t="s">
        <v>24</v>
      </c>
      <c r="C19" s="180"/>
      <c r="D19" s="180"/>
      <c r="E19" s="180"/>
      <c r="F19" s="180"/>
      <c r="G19" s="180"/>
      <c r="H19" s="180"/>
      <c r="I19" s="88" t="s">
        <v>39</v>
      </c>
      <c r="J19" s="89"/>
      <c r="K19" s="90"/>
      <c r="L19" s="72" t="s">
        <v>40</v>
      </c>
      <c r="M19" s="73"/>
      <c r="N19" s="74"/>
      <c r="O19" s="36" t="s">
        <v>18</v>
      </c>
      <c r="P19" s="37"/>
      <c r="Q19" s="40"/>
    </row>
    <row r="20" spans="2:17" ht="29.25" customHeight="1" thickBot="1" x14ac:dyDescent="0.3">
      <c r="B20" s="181"/>
      <c r="C20" s="182"/>
      <c r="D20" s="182"/>
      <c r="E20" s="182"/>
      <c r="F20" s="182"/>
      <c r="G20" s="182"/>
      <c r="H20" s="182"/>
      <c r="I20" s="91"/>
      <c r="J20" s="92"/>
      <c r="K20" s="93"/>
      <c r="L20" s="75"/>
      <c r="M20" s="76"/>
      <c r="N20" s="77"/>
      <c r="O20" s="38"/>
      <c r="P20" s="39"/>
      <c r="Q20" s="41"/>
    </row>
    <row r="21" spans="2:17" ht="15.95" customHeight="1" x14ac:dyDescent="0.25">
      <c r="B21" s="44" t="s">
        <v>12</v>
      </c>
      <c r="C21" s="45"/>
      <c r="D21" s="209" t="s">
        <v>9</v>
      </c>
      <c r="E21" s="210"/>
      <c r="F21" s="211"/>
      <c r="G21" s="210" t="s">
        <v>30</v>
      </c>
      <c r="H21" s="215"/>
      <c r="I21" s="128" t="s">
        <v>22</v>
      </c>
      <c r="J21" s="130" t="s">
        <v>23</v>
      </c>
      <c r="K21" s="131"/>
      <c r="L21" s="191" t="s">
        <v>29</v>
      </c>
      <c r="M21" s="193" t="s">
        <v>23</v>
      </c>
      <c r="N21" s="194"/>
      <c r="O21" s="197" t="s">
        <v>29</v>
      </c>
      <c r="P21" s="144" t="s">
        <v>23</v>
      </c>
      <c r="Q21" s="145"/>
    </row>
    <row r="22" spans="2:17" ht="15.95" customHeight="1" thickBot="1" x14ac:dyDescent="0.3">
      <c r="B22" s="46"/>
      <c r="C22" s="47"/>
      <c r="D22" s="212"/>
      <c r="E22" s="213"/>
      <c r="F22" s="214"/>
      <c r="G22" s="213"/>
      <c r="H22" s="216"/>
      <c r="I22" s="129"/>
      <c r="J22" s="132"/>
      <c r="K22" s="133"/>
      <c r="L22" s="192"/>
      <c r="M22" s="195"/>
      <c r="N22" s="196"/>
      <c r="O22" s="198"/>
      <c r="P22" s="146"/>
      <c r="Q22" s="147"/>
    </row>
    <row r="23" spans="2:17" ht="15.95" customHeight="1" x14ac:dyDescent="0.25">
      <c r="B23" s="26">
        <v>0.53</v>
      </c>
      <c r="C23" s="27"/>
      <c r="D23" s="48" t="s">
        <v>42</v>
      </c>
      <c r="E23" s="49"/>
      <c r="F23" s="50"/>
      <c r="G23" s="217">
        <v>2050</v>
      </c>
      <c r="H23" s="218"/>
      <c r="I23" s="134" t="s">
        <v>25</v>
      </c>
      <c r="J23" s="136" t="s">
        <v>10</v>
      </c>
      <c r="K23" s="137"/>
      <c r="L23" s="154" t="s">
        <v>25</v>
      </c>
      <c r="M23" s="54" t="s">
        <v>10</v>
      </c>
      <c r="N23" s="55"/>
      <c r="O23" s="156" t="s">
        <v>18</v>
      </c>
      <c r="P23" s="158" t="s">
        <v>18</v>
      </c>
      <c r="Q23" s="159"/>
    </row>
    <row r="24" spans="2:17" ht="15.95" customHeight="1" thickBot="1" x14ac:dyDescent="0.3">
      <c r="B24" s="28"/>
      <c r="C24" s="29"/>
      <c r="D24" s="51" t="s">
        <v>15</v>
      </c>
      <c r="E24" s="52"/>
      <c r="F24" s="53"/>
      <c r="G24" s="219"/>
      <c r="H24" s="220"/>
      <c r="I24" s="135"/>
      <c r="J24" s="138"/>
      <c r="K24" s="139"/>
      <c r="L24" s="155"/>
      <c r="M24" s="56"/>
      <c r="N24" s="57"/>
      <c r="O24" s="157"/>
      <c r="P24" s="160"/>
      <c r="Q24" s="161"/>
    </row>
    <row r="25" spans="2:17" ht="15.95" customHeight="1" x14ac:dyDescent="0.25">
      <c r="B25" s="26">
        <v>0.47</v>
      </c>
      <c r="C25" s="27"/>
      <c r="D25" s="48" t="s">
        <v>11</v>
      </c>
      <c r="E25" s="49"/>
      <c r="F25" s="50"/>
      <c r="G25" s="217"/>
      <c r="H25" s="218"/>
      <c r="I25" s="134" t="s">
        <v>41</v>
      </c>
      <c r="J25" s="136" t="s">
        <v>10</v>
      </c>
      <c r="K25" s="137"/>
      <c r="L25" s="154" t="s">
        <v>41</v>
      </c>
      <c r="M25" s="54" t="s">
        <v>10</v>
      </c>
      <c r="N25" s="55"/>
      <c r="O25" s="156" t="s">
        <v>18</v>
      </c>
      <c r="P25" s="158" t="s">
        <v>18</v>
      </c>
      <c r="Q25" s="159"/>
    </row>
    <row r="26" spans="2:17" ht="15.95" customHeight="1" thickBot="1" x14ac:dyDescent="0.3">
      <c r="B26" s="28"/>
      <c r="C26" s="29"/>
      <c r="D26" s="51" t="s">
        <v>13</v>
      </c>
      <c r="E26" s="52"/>
      <c r="F26" s="53"/>
      <c r="G26" s="219"/>
      <c r="H26" s="220"/>
      <c r="I26" s="135"/>
      <c r="J26" s="138"/>
      <c r="K26" s="139"/>
      <c r="L26" s="155"/>
      <c r="M26" s="56"/>
      <c r="N26" s="57"/>
      <c r="O26" s="157"/>
      <c r="P26" s="160"/>
      <c r="Q26" s="161"/>
    </row>
    <row r="27" spans="2:17" ht="15.75" customHeight="1" x14ac:dyDescent="0.25">
      <c r="B27" s="26" t="s">
        <v>18</v>
      </c>
      <c r="C27" s="27"/>
      <c r="D27" s="30" t="s">
        <v>18</v>
      </c>
      <c r="E27" s="31"/>
      <c r="F27" s="32"/>
      <c r="G27" s="31" t="s">
        <v>18</v>
      </c>
      <c r="H27" s="221"/>
      <c r="I27" s="148" t="s">
        <v>18</v>
      </c>
      <c r="J27" s="162" t="s">
        <v>18</v>
      </c>
      <c r="K27" s="163"/>
      <c r="L27" s="166" t="s">
        <v>18</v>
      </c>
      <c r="M27" s="168" t="s">
        <v>18</v>
      </c>
      <c r="N27" s="169"/>
      <c r="O27" s="156" t="s">
        <v>18</v>
      </c>
      <c r="P27" s="172" t="s">
        <v>18</v>
      </c>
      <c r="Q27" s="159"/>
    </row>
    <row r="28" spans="2:17" ht="15.75" customHeight="1" thickBot="1" x14ac:dyDescent="0.3">
      <c r="B28" s="28"/>
      <c r="C28" s="29"/>
      <c r="D28" s="33"/>
      <c r="E28" s="34"/>
      <c r="F28" s="35"/>
      <c r="G28" s="34"/>
      <c r="H28" s="222"/>
      <c r="I28" s="149"/>
      <c r="J28" s="164"/>
      <c r="K28" s="165"/>
      <c r="L28" s="167"/>
      <c r="M28" s="170"/>
      <c r="N28" s="171"/>
      <c r="O28" s="157"/>
      <c r="P28" s="173"/>
      <c r="Q28" s="161"/>
    </row>
    <row r="29" spans="2:17" ht="15.75" customHeight="1" x14ac:dyDescent="0.25">
      <c r="B29" s="26" t="s">
        <v>18</v>
      </c>
      <c r="C29" s="27"/>
      <c r="D29" s="30" t="s">
        <v>18</v>
      </c>
      <c r="E29" s="31"/>
      <c r="F29" s="32"/>
      <c r="G29" s="31" t="s">
        <v>18</v>
      </c>
      <c r="H29" s="221"/>
      <c r="I29" s="148" t="s">
        <v>18</v>
      </c>
      <c r="J29" s="150" t="s">
        <v>18</v>
      </c>
      <c r="K29" s="151"/>
      <c r="L29" s="166" t="s">
        <v>18</v>
      </c>
      <c r="M29" s="187" t="s">
        <v>18</v>
      </c>
      <c r="N29" s="188"/>
      <c r="O29" s="156" t="s">
        <v>18</v>
      </c>
      <c r="P29" s="172" t="s">
        <v>18</v>
      </c>
      <c r="Q29" s="159"/>
    </row>
    <row r="30" spans="2:17" ht="15.75" customHeight="1" thickBot="1" x14ac:dyDescent="0.3">
      <c r="B30" s="28"/>
      <c r="C30" s="29"/>
      <c r="D30" s="33"/>
      <c r="E30" s="34"/>
      <c r="F30" s="35"/>
      <c r="G30" s="34"/>
      <c r="H30" s="222"/>
      <c r="I30" s="149"/>
      <c r="J30" s="152"/>
      <c r="K30" s="153"/>
      <c r="L30" s="167"/>
      <c r="M30" s="189"/>
      <c r="N30" s="190"/>
      <c r="O30" s="157"/>
      <c r="P30" s="173"/>
      <c r="Q30" s="161"/>
    </row>
    <row r="31" spans="2:17" ht="15.75" customHeight="1" x14ac:dyDescent="0.25">
      <c r="B31" s="116" t="s">
        <v>20</v>
      </c>
      <c r="C31" s="117"/>
      <c r="D31" s="199" t="s">
        <v>21</v>
      </c>
      <c r="E31" s="200"/>
      <c r="F31" s="201"/>
      <c r="G31" s="205">
        <v>2800</v>
      </c>
      <c r="H31" s="206"/>
      <c r="I31" s="20" t="s">
        <v>26</v>
      </c>
      <c r="J31" s="22" t="s">
        <v>41</v>
      </c>
      <c r="K31" s="23"/>
      <c r="L31" s="108" t="s">
        <v>26</v>
      </c>
      <c r="M31" s="183" t="s">
        <v>41</v>
      </c>
      <c r="N31" s="184"/>
      <c r="O31" s="156" t="s">
        <v>18</v>
      </c>
      <c r="P31" s="172" t="s">
        <v>18</v>
      </c>
      <c r="Q31" s="159"/>
    </row>
    <row r="32" spans="2:17" ht="15.75" customHeight="1" thickBot="1" x14ac:dyDescent="0.3">
      <c r="B32" s="118"/>
      <c r="C32" s="119"/>
      <c r="D32" s="202"/>
      <c r="E32" s="203"/>
      <c r="F32" s="204"/>
      <c r="G32" s="207"/>
      <c r="H32" s="208"/>
      <c r="I32" s="21"/>
      <c r="J32" s="24"/>
      <c r="K32" s="25"/>
      <c r="L32" s="109"/>
      <c r="M32" s="185"/>
      <c r="N32" s="186"/>
      <c r="O32" s="157"/>
      <c r="P32" s="173"/>
      <c r="Q32" s="161"/>
    </row>
    <row r="33" spans="15:17" ht="15.75" customHeight="1" x14ac:dyDescent="0.25">
      <c r="O33" s="174"/>
      <c r="P33" s="174"/>
      <c r="Q33" s="174"/>
    </row>
    <row r="34" spans="15:17" ht="15.75" customHeight="1" x14ac:dyDescent="0.25"/>
    <row r="35" spans="15:17" ht="15.75" customHeight="1" x14ac:dyDescent="0.25"/>
    <row r="36" spans="15:17" ht="15.75" customHeight="1" x14ac:dyDescent="0.25"/>
    <row r="37" spans="15:17" ht="15.75" customHeight="1" x14ac:dyDescent="0.25"/>
    <row r="38" spans="15:17" ht="15.75" customHeight="1" x14ac:dyDescent="0.25"/>
    <row r="39" spans="15:17" ht="15.75" customHeight="1" x14ac:dyDescent="0.25"/>
    <row r="40" spans="15:17" ht="15.75" customHeight="1" x14ac:dyDescent="0.25"/>
    <row r="41" spans="15:17" ht="15.75" customHeight="1" x14ac:dyDescent="0.25"/>
    <row r="42" spans="15:17" ht="15.75" customHeight="1" x14ac:dyDescent="0.25"/>
    <row r="43" spans="15:17" ht="15.75" customHeight="1" x14ac:dyDescent="0.25"/>
    <row r="44" spans="15:17" ht="15.75" customHeight="1" x14ac:dyDescent="0.25"/>
    <row r="45" spans="15:17" ht="15.75" customHeight="1" x14ac:dyDescent="0.25"/>
    <row r="46" spans="15:17" ht="15.75" customHeight="1" x14ac:dyDescent="0.25"/>
    <row r="47" spans="15:17" ht="15.75" customHeight="1" x14ac:dyDescent="0.25"/>
    <row r="48" spans="15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</sheetData>
  <mergeCells count="89">
    <mergeCell ref="O33:Q33"/>
    <mergeCell ref="B2:D3"/>
    <mergeCell ref="B19:H20"/>
    <mergeCell ref="L19:N20"/>
    <mergeCell ref="M31:N32"/>
    <mergeCell ref="O31:O32"/>
    <mergeCell ref="P31:Q32"/>
    <mergeCell ref="O25:O26"/>
    <mergeCell ref="P25:Q26"/>
    <mergeCell ref="L29:L30"/>
    <mergeCell ref="M29:N30"/>
    <mergeCell ref="O29:O30"/>
    <mergeCell ref="P29:Q30"/>
    <mergeCell ref="L21:L22"/>
    <mergeCell ref="M21:N22"/>
    <mergeCell ref="O21:O22"/>
    <mergeCell ref="O19:Q20"/>
    <mergeCell ref="I29:I30"/>
    <mergeCell ref="J29:K30"/>
    <mergeCell ref="L23:L24"/>
    <mergeCell ref="L25:L26"/>
    <mergeCell ref="O23:O24"/>
    <mergeCell ref="P23:Q24"/>
    <mergeCell ref="M25:N26"/>
    <mergeCell ref="I27:I28"/>
    <mergeCell ref="J27:K28"/>
    <mergeCell ref="L27:L28"/>
    <mergeCell ref="M27:N28"/>
    <mergeCell ref="O27:O28"/>
    <mergeCell ref="P27:Q28"/>
    <mergeCell ref="L31:L32"/>
    <mergeCell ref="O15:P16"/>
    <mergeCell ref="Q15:Q16"/>
    <mergeCell ref="B25:C26"/>
    <mergeCell ref="B31:C32"/>
    <mergeCell ref="N15:N16"/>
    <mergeCell ref="B17:Q18"/>
    <mergeCell ref="I19:K20"/>
    <mergeCell ref="I21:I22"/>
    <mergeCell ref="J21:K22"/>
    <mergeCell ref="I23:I24"/>
    <mergeCell ref="J23:K24"/>
    <mergeCell ref="I25:I26"/>
    <mergeCell ref="J25:K26"/>
    <mergeCell ref="I15:J16"/>
    <mergeCell ref="P21:Q22"/>
    <mergeCell ref="E2:Q3"/>
    <mergeCell ref="O7:Q8"/>
    <mergeCell ref="L7:N8"/>
    <mergeCell ref="E4:Q6"/>
    <mergeCell ref="Q13:Q14"/>
    <mergeCell ref="N13:N14"/>
    <mergeCell ref="I7:K8"/>
    <mergeCell ref="I11:K12"/>
    <mergeCell ref="L11:N12"/>
    <mergeCell ref="I13:J14"/>
    <mergeCell ref="L13:M14"/>
    <mergeCell ref="I9:Q10"/>
    <mergeCell ref="D26:F26"/>
    <mergeCell ref="M23:N24"/>
    <mergeCell ref="L15:M16"/>
    <mergeCell ref="E15:H16"/>
    <mergeCell ref="K15:K16"/>
    <mergeCell ref="D21:F22"/>
    <mergeCell ref="G21:H22"/>
    <mergeCell ref="G23:H24"/>
    <mergeCell ref="G25:H26"/>
    <mergeCell ref="B21:C22"/>
    <mergeCell ref="B23:C24"/>
    <mergeCell ref="D23:F23"/>
    <mergeCell ref="D24:F24"/>
    <mergeCell ref="D25:F25"/>
    <mergeCell ref="O13:P14"/>
    <mergeCell ref="O11:Q12"/>
    <mergeCell ref="E7:H8"/>
    <mergeCell ref="E9:H10"/>
    <mergeCell ref="E11:H12"/>
    <mergeCell ref="E13:H14"/>
    <mergeCell ref="K13:K14"/>
    <mergeCell ref="I31:I32"/>
    <mergeCell ref="J31:K32"/>
    <mergeCell ref="B27:C28"/>
    <mergeCell ref="B29:C30"/>
    <mergeCell ref="D27:F28"/>
    <mergeCell ref="D29:F30"/>
    <mergeCell ref="D31:F32"/>
    <mergeCell ref="G31:H32"/>
    <mergeCell ref="G27:H28"/>
    <mergeCell ref="G29:H30"/>
  </mergeCells>
  <phoneticPr fontId="15" type="noConversion"/>
  <printOptions horizontalCentered="1"/>
  <pageMargins left="0.17" right="0.26" top="0.28999999999999998" bottom="0" header="0.17" footer="0"/>
  <pageSetup scale="11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825DCA46-1526-4107-933F-65E7663CC71A}">
          <x14:formula1>
            <xm:f>DATA!$B$4:$B$8</xm:f>
          </x14:formula1>
          <xm:sqref>I11:K12 N11:N12 Q11:Q12</xm:sqref>
        </x14:dataValidation>
        <x14:dataValidation type="list" allowBlank="1" showInputMessage="1" showErrorMessage="1" xr:uid="{D4FC21FC-1BD4-4DE9-AC61-0B0C8C880E62}">
          <x14:formula1>
            <xm:f>DATA!$C$4:$C$8</xm:f>
          </x14:formula1>
          <xm:sqref>L11:M12 P11:P12</xm:sqref>
        </x14:dataValidation>
        <x14:dataValidation type="list" allowBlank="1" showInputMessage="1" showErrorMessage="1" xr:uid="{5D41E5DD-097A-437A-B968-4363E3736CF3}">
          <x14:formula1>
            <xm:f>DATA!$C$11:$C$15</xm:f>
          </x14:formula1>
          <xm:sqref>L15:M16 P15:P16</xm:sqref>
        </x14:dataValidation>
        <x14:dataValidation type="list" allowBlank="1" showInputMessage="1" showErrorMessage="1" xr:uid="{B17B61E1-5A31-480B-864E-F27E110F4D37}">
          <x14:formula1>
            <xm:f>DATA!$B$11:$B$15</xm:f>
          </x14:formula1>
          <xm:sqref>I15:J16</xm:sqref>
        </x14:dataValidation>
        <x14:dataValidation type="list" allowBlank="1" showInputMessage="1" showErrorMessage="1" xr:uid="{4B646C0D-1AFE-4EC1-AFF2-2C134FF5213C}">
          <x14:formula1>
            <xm:f>DATA!#REF!</xm:f>
          </x14:formula1>
          <xm:sqref>O11:O12 O15:O16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AC06-7475-4501-A86A-F7212F3BAD77}">
  <dimension ref="B1:C15"/>
  <sheetViews>
    <sheetView workbookViewId="0">
      <selection activeCell="C12" sqref="C12"/>
    </sheetView>
  </sheetViews>
  <sheetFormatPr baseColWidth="10" defaultColWidth="11.42578125" defaultRowHeight="15" x14ac:dyDescent="0.25"/>
  <cols>
    <col min="2" max="3" width="30.7109375" customWidth="1"/>
  </cols>
  <sheetData>
    <row r="1" spans="2:3" ht="15.75" thickBot="1" x14ac:dyDescent="0.3"/>
    <row r="2" spans="2:3" ht="30" customHeight="1" thickBot="1" x14ac:dyDescent="0.3">
      <c r="B2" s="2" t="s">
        <v>27</v>
      </c>
      <c r="C2" s="3" t="s">
        <v>28</v>
      </c>
    </row>
    <row r="3" spans="2:3" ht="30" customHeight="1" thickBot="1" x14ac:dyDescent="0.3">
      <c r="B3" s="223" t="s">
        <v>35</v>
      </c>
      <c r="C3" s="224"/>
    </row>
    <row r="4" spans="2:3" ht="30" customHeight="1" thickBot="1" x14ac:dyDescent="0.3">
      <c r="B4" s="18" t="s">
        <v>34</v>
      </c>
      <c r="C4" s="19" t="s">
        <v>37</v>
      </c>
    </row>
    <row r="5" spans="2:3" ht="30" customHeight="1" thickBot="1" x14ac:dyDescent="0.3">
      <c r="B5" s="4" t="s">
        <v>18</v>
      </c>
      <c r="C5" s="5" t="s">
        <v>18</v>
      </c>
    </row>
    <row r="6" spans="2:3" ht="30" customHeight="1" thickBot="1" x14ac:dyDescent="0.3">
      <c r="B6" s="4" t="s">
        <v>18</v>
      </c>
      <c r="C6" s="5" t="s">
        <v>18</v>
      </c>
    </row>
    <row r="7" spans="2:3" ht="30" customHeight="1" thickBot="1" x14ac:dyDescent="0.3">
      <c r="B7" s="4" t="s">
        <v>18</v>
      </c>
      <c r="C7" s="5" t="s">
        <v>18</v>
      </c>
    </row>
    <row r="8" spans="2:3" ht="30" customHeight="1" thickBot="1" x14ac:dyDescent="0.3">
      <c r="B8" s="6" t="s">
        <v>18</v>
      </c>
      <c r="C8" s="7" t="s">
        <v>18</v>
      </c>
    </row>
    <row r="9" spans="2:3" ht="30" customHeight="1" thickBot="1" x14ac:dyDescent="0.3">
      <c r="B9" s="2" t="s">
        <v>16</v>
      </c>
      <c r="C9" s="3" t="s">
        <v>17</v>
      </c>
    </row>
    <row r="10" spans="2:3" ht="30" customHeight="1" thickBot="1" x14ac:dyDescent="0.3">
      <c r="B10" s="223" t="s">
        <v>36</v>
      </c>
      <c r="C10" s="224"/>
    </row>
    <row r="11" spans="2:3" ht="30" customHeight="1" thickBot="1" x14ac:dyDescent="0.3">
      <c r="B11" s="12">
        <v>2.8124999999999999E-3</v>
      </c>
      <c r="C11" s="13">
        <v>2.8819444444444444E-3</v>
      </c>
    </row>
    <row r="12" spans="2:3" ht="30" customHeight="1" thickBot="1" x14ac:dyDescent="0.3">
      <c r="B12" s="8" t="s">
        <v>18</v>
      </c>
      <c r="C12" s="9" t="s">
        <v>18</v>
      </c>
    </row>
    <row r="13" spans="2:3" ht="30" customHeight="1" thickBot="1" x14ac:dyDescent="0.3">
      <c r="B13" s="8" t="s">
        <v>18</v>
      </c>
      <c r="C13" s="9" t="s">
        <v>18</v>
      </c>
    </row>
    <row r="14" spans="2:3" ht="30" customHeight="1" thickBot="1" x14ac:dyDescent="0.3">
      <c r="B14" s="8" t="s">
        <v>18</v>
      </c>
      <c r="C14" s="9" t="s">
        <v>18</v>
      </c>
    </row>
    <row r="15" spans="2:3" ht="30" customHeight="1" thickBot="1" x14ac:dyDescent="0.3">
      <c r="B15" s="10" t="s">
        <v>18</v>
      </c>
      <c r="C15" s="11" t="s">
        <v>18</v>
      </c>
    </row>
  </sheetData>
  <mergeCells count="2">
    <mergeCell ref="B3:C3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2025-03-11T21:48:40Z</cp:lastPrinted>
  <dcterms:created xsi:type="dcterms:W3CDTF">2023-10-31T20:19:37Z</dcterms:created>
  <dcterms:modified xsi:type="dcterms:W3CDTF">2025-04-02T00:34:35Z</dcterms:modified>
  <dc:language>es-MX</dc:language>
</cp:coreProperties>
</file>