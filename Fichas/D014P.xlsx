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3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ANDREA\D026 BLUSA D020 CON CANAL DEL D003\"/>
    </mc:Choice>
  </mc:AlternateContent>
  <xr:revisionPtr revIDLastSave="0" documentId="13_ncr:1_{4A320310-764B-4D5C-BF22-B0F329C450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  <workbookView minimized="1" xWindow="-90" yWindow="0" windowWidth="14895" windowHeight="15135" xr2:uid="{381529E0-D312-4702-ACC1-EA6DB855F30A}"/>
  </bookViews>
  <sheets>
    <sheet name="43577 PANTALETA ( D014P)" sheetId="1" r:id="rId1"/>
    <sheet name="maes25" sheetId="2" r:id="rId2"/>
  </sheets>
  <definedNames>
    <definedName name="_xlnm.Print_Area" localSheetId="0">'43577 PANTALETA ( D014P)'!$A$1:$M$55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2" l="1"/>
  <c r="S19" i="2"/>
  <c r="U16" i="2"/>
  <c r="S16" i="2"/>
  <c r="U10" i="2"/>
  <c r="S10" i="2"/>
  <c r="P10" i="2"/>
  <c r="N10" i="2"/>
  <c r="U18" i="2"/>
  <c r="S18" i="2"/>
  <c r="U15" i="2"/>
  <c r="S15" i="2"/>
  <c r="O17" i="2"/>
  <c r="O16" i="2"/>
  <c r="N17" i="2"/>
  <c r="N16" i="2"/>
  <c r="P18" i="2"/>
  <c r="O18" i="2"/>
  <c r="N18" i="2"/>
  <c r="M17" i="2"/>
  <c r="M16" i="2"/>
  <c r="M18" i="2" s="1"/>
</calcChain>
</file>

<file path=xl/sharedStrings.xml><?xml version="1.0" encoding="utf-8"?>
<sst xmlns="http://schemas.openxmlformats.org/spreadsheetml/2006/main" count="109" uniqueCount="54">
  <si>
    <t>TABLA DE MEDIDAS</t>
  </si>
  <si>
    <t xml:space="preserve"> </t>
  </si>
  <si>
    <t>MEDIDAS  EN PULGADAS</t>
  </si>
  <si>
    <t xml:space="preserve">GRADUACION </t>
  </si>
  <si>
    <t>TOL. +/-</t>
  </si>
  <si>
    <t>APROBACIONES:</t>
  </si>
  <si>
    <t>DESARROLLO DE PRODUCTO:</t>
  </si>
  <si>
    <t>COORDINADORA  DISEÑO TECNICO</t>
  </si>
  <si>
    <t>FABRICANTE:</t>
  </si>
  <si>
    <t>SWETER'S LILIANA</t>
  </si>
  <si>
    <t>A</t>
  </si>
  <si>
    <t>B</t>
  </si>
  <si>
    <t>C</t>
  </si>
  <si>
    <t>D</t>
  </si>
  <si>
    <t>E</t>
  </si>
  <si>
    <t>F</t>
  </si>
  <si>
    <t>G</t>
  </si>
  <si>
    <t>H</t>
  </si>
  <si>
    <t>BASE</t>
  </si>
  <si>
    <t>CH/M</t>
  </si>
  <si>
    <t>G/EG</t>
  </si>
  <si>
    <t>1/2</t>
  </si>
  <si>
    <t>1/4</t>
  </si>
  <si>
    <t>CINTURA POR MITAD</t>
  </si>
  <si>
    <t>PIERNA 1/2 ALINEADO DELANTERO Y TRASERO</t>
  </si>
  <si>
    <t>LARGO TIRO DELANTERO SIN BANDA CINTURA</t>
  </si>
  <si>
    <t>LARGO TIRO TRASERO SIN BANDA CINTURA</t>
  </si>
  <si>
    <t>ANCHO PUENTE DELANTERO</t>
  </si>
  <si>
    <t>ANCHO PUENTE TRASERO</t>
  </si>
  <si>
    <t>LARGO CENTRO PUENTE</t>
  </si>
  <si>
    <t>LARGO PRETINA</t>
  </si>
  <si>
    <t>D014P</t>
  </si>
  <si>
    <t>CODIGO VIVA ROUSS</t>
  </si>
  <si>
    <t>CODIGO ANDREA</t>
  </si>
  <si>
    <t>3PACK</t>
  </si>
  <si>
    <t>FORMA DE EMPAQUE</t>
  </si>
  <si>
    <t>MEDIANA</t>
  </si>
  <si>
    <t>PESO</t>
  </si>
  <si>
    <t>D014P38M</t>
  </si>
  <si>
    <t>GRANDE</t>
  </si>
  <si>
    <t>D014P39X</t>
  </si>
  <si>
    <t>Cantidad</t>
  </si>
  <si>
    <t>Tiempo</t>
  </si>
  <si>
    <t>HILATURA</t>
  </si>
  <si>
    <t>LIKRA</t>
  </si>
  <si>
    <t>NYLON</t>
  </si>
  <si>
    <t>Desnuda</t>
  </si>
  <si>
    <t>Dubai</t>
  </si>
  <si>
    <t>Piezas x Hr</t>
  </si>
  <si>
    <t>Turno 12hr</t>
  </si>
  <si>
    <t>Turno 24</t>
  </si>
  <si>
    <t>Pack</t>
  </si>
  <si>
    <t>Semana 12hr</t>
  </si>
  <si>
    <t>Semana 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</si>
</sst>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5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b/>
      <sz val="9"/>
      <color theme="3" tint="0.39997558519241921"/>
      <name val="Arial"/>
      <family val="2"/>
    </font>
    <font>
      <sz val="12"/>
      <color theme="1"/>
      <name val="Calibri"/>
      <family val="2"/>
      <scheme val="minor"/>
    </font>
    <font>
      <sz val="10"/>
      <name val="Arial Black"/>
      <family val="2"/>
    </font>
    <font>
      <sz val="10"/>
      <color theme="1"/>
      <name val="Arial Black"/>
      <family val="2"/>
    </font>
    <font>
      <sz val="10"/>
      <color rgb="FFFF00FF"/>
      <name val="Arial"/>
      <family val="2"/>
    </font>
    <font>
      <b/>
      <sz val="8"/>
      <color theme="3" tint="0.39997558519241921"/>
      <name val="Arial"/>
      <family val="2"/>
    </font>
    <font>
      <b/>
      <sz val="12"/>
      <name val="Consolas"/>
      <family val="3"/>
    </font>
    <font>
      <b/>
      <sz val="12"/>
      <color theme="3" tint="0.39997558519241921"/>
      <name val="Consolas"/>
      <family val="3"/>
    </font>
    <font>
      <b/>
      <sz val="12"/>
      <color indexed="10"/>
      <name val="Consolas"/>
      <family val="3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28"/>
      <name val="Arial"/>
      <family val="2"/>
    </font>
    <font>
      <sz val="14"/>
      <name val="Arial Black"/>
      <family val="2"/>
    </font>
    <font>
      <sz val="14"/>
      <color theme="1"/>
      <name val="Arial Black"/>
      <family val="2"/>
    </font>
    <font>
      <b/>
      <sz val="14"/>
      <name val="Consolas"/>
      <family val="3"/>
    </font>
    <font>
      <b/>
      <sz val="18"/>
      <name val="Arial"/>
      <family val="2"/>
    </font>
    <font>
      <b/>
      <sz val="20"/>
      <name val="Arial"/>
      <family val="2"/>
    </font>
    <font>
      <b/>
      <sz val="14"/>
      <name val="Arial Black"/>
      <family val="2"/>
    </font>
    <font>
      <sz val="16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160">
    <xf numFmtId="0" fontId="0" fillId="0" borderId="0" xfId="0"/>
    <xf numFmtId="0" fontId="0" fillId="2" borderId="0" xfId="0" applyFill="1"/>
    <xf numFmtId="0" fontId="1" fillId="2" borderId="2" xfId="1" applyFill="1" applyBorder="1"/>
    <xf numFmtId="0" fontId="1" fillId="2" borderId="3" xfId="1" applyFill="1" applyBorder="1"/>
    <xf numFmtId="0" fontId="1" fillId="2" borderId="6" xfId="1" applyFill="1" applyBorder="1"/>
    <xf numFmtId="0" fontId="1" fillId="2" borderId="7" xfId="1" applyFill="1" applyBorder="1"/>
    <xf numFmtId="0" fontId="2" fillId="3" borderId="9" xfId="1" applyFont="1" applyFill="1" applyBorder="1"/>
    <xf numFmtId="0" fontId="2" fillId="3" borderId="10" xfId="1" applyFont="1" applyFill="1" applyBorder="1"/>
    <xf numFmtId="0" fontId="4" fillId="3" borderId="10" xfId="1" applyFont="1" applyFill="1" applyBorder="1"/>
    <xf numFmtId="0" fontId="5" fillId="2" borderId="9" xfId="1" applyFont="1" applyFill="1" applyBorder="1"/>
    <xf numFmtId="0" fontId="5" fillId="2" borderId="10" xfId="1" applyFont="1" applyFill="1" applyBorder="1"/>
    <xf numFmtId="0" fontId="5" fillId="2" borderId="11" xfId="1" applyFont="1" applyFill="1" applyBorder="1"/>
    <xf numFmtId="0" fontId="6" fillId="2" borderId="9" xfId="1" applyFont="1" applyFill="1" applyBorder="1"/>
    <xf numFmtId="0" fontId="6" fillId="2" borderId="10" xfId="1" applyFont="1" applyFill="1" applyBorder="1"/>
    <xf numFmtId="0" fontId="6" fillId="2" borderId="10" xfId="1" applyFont="1" applyFill="1" applyBorder="1" applyAlignment="1">
      <alignment horizontal="left" vertical="center"/>
    </xf>
    <xf numFmtId="0" fontId="1" fillId="2" borderId="10" xfId="1" applyFill="1" applyBorder="1"/>
    <xf numFmtId="0" fontId="6" fillId="2" borderId="11" xfId="1" applyFont="1" applyFill="1" applyBorder="1"/>
    <xf numFmtId="0" fontId="6" fillId="2" borderId="1" xfId="1" applyFont="1" applyFill="1" applyBorder="1"/>
    <xf numFmtId="0" fontId="6" fillId="2" borderId="2" xfId="1" applyFont="1" applyFill="1" applyBorder="1"/>
    <xf numFmtId="0" fontId="6" fillId="2" borderId="4" xfId="1" applyFont="1" applyFill="1" applyBorder="1"/>
    <xf numFmtId="0" fontId="6" fillId="2" borderId="0" xfId="1" applyFont="1" applyFill="1"/>
    <xf numFmtId="0" fontId="1" fillId="2" borderId="0" xfId="1" applyFill="1"/>
    <xf numFmtId="0" fontId="1" fillId="2" borderId="5" xfId="1" applyFill="1" applyBorder="1"/>
    <xf numFmtId="0" fontId="1" fillId="2" borderId="4" xfId="1" applyFill="1" applyBorder="1"/>
    <xf numFmtId="0" fontId="10" fillId="2" borderId="0" xfId="1" applyFont="1" applyFill="1"/>
    <xf numFmtId="0" fontId="6" fillId="2" borderId="0" xfId="1" applyFont="1" applyFill="1" applyAlignment="1">
      <alignment horizont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13" fontId="6" fillId="2" borderId="0" xfId="2" applyNumberFormat="1" applyFont="1" applyFill="1" applyAlignment="1">
      <alignment horizontal="center" vertical="center" wrapText="1"/>
    </xf>
    <xf numFmtId="13" fontId="6" fillId="2" borderId="5" xfId="1" applyNumberFormat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left"/>
    </xf>
    <xf numFmtId="0" fontId="13" fillId="2" borderId="4" xfId="1" applyFont="1" applyFill="1" applyBorder="1" applyAlignment="1">
      <alignment horizontal="left"/>
    </xf>
    <xf numFmtId="0" fontId="14" fillId="2" borderId="0" xfId="0" applyFont="1" applyFill="1" applyAlignment="1">
      <alignment horizontal="center"/>
    </xf>
    <xf numFmtId="0" fontId="17" fillId="5" borderId="12" xfId="2" applyFont="1" applyFill="1" applyBorder="1" applyAlignment="1">
      <alignment horizontal="center" vertical="top"/>
    </xf>
    <xf numFmtId="0" fontId="6" fillId="5" borderId="13" xfId="2" applyFont="1" applyFill="1" applyBorder="1" applyAlignment="1">
      <alignment horizontal="left" vertical="top"/>
    </xf>
    <xf numFmtId="0" fontId="18" fillId="0" borderId="12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6" fillId="5" borderId="17" xfId="2" applyFont="1" applyFill="1" applyBorder="1" applyAlignment="1">
      <alignment horizontal="left" vertical="top"/>
    </xf>
    <xf numFmtId="0" fontId="6" fillId="5" borderId="4" xfId="2" applyFont="1" applyFill="1" applyBorder="1" applyAlignment="1">
      <alignment horizontal="center" vertical="top"/>
    </xf>
    <xf numFmtId="0" fontId="6" fillId="5" borderId="0" xfId="2" applyFont="1" applyFill="1" applyAlignment="1">
      <alignment horizontal="left" vertical="top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49" fontId="1" fillId="2" borderId="4" xfId="1" applyNumberFormat="1" applyFill="1" applyBorder="1"/>
    <xf numFmtId="49" fontId="1" fillId="2" borderId="5" xfId="1" applyNumberFormat="1" applyFill="1" applyBorder="1"/>
    <xf numFmtId="0" fontId="6" fillId="2" borderId="5" xfId="1" applyFont="1" applyFill="1" applyBorder="1"/>
    <xf numFmtId="49" fontId="1" fillId="2" borderId="6" xfId="1" applyNumberFormat="1" applyFill="1" applyBorder="1"/>
    <xf numFmtId="49" fontId="1" fillId="2" borderId="7" xfId="1" applyNumberFormat="1" applyFill="1" applyBorder="1"/>
    <xf numFmtId="49" fontId="1" fillId="2" borderId="8" xfId="1" applyNumberFormat="1" applyFill="1" applyBorder="1"/>
    <xf numFmtId="49" fontId="6" fillId="2" borderId="4" xfId="1" applyNumberFormat="1" applyFont="1" applyFill="1" applyBorder="1"/>
    <xf numFmtId="49" fontId="6" fillId="2" borderId="0" xfId="1" applyNumberFormat="1" applyFont="1" applyFill="1"/>
    <xf numFmtId="49" fontId="1" fillId="2" borderId="0" xfId="1" applyNumberFormat="1" applyFill="1"/>
    <xf numFmtId="49" fontId="19" fillId="2" borderId="7" xfId="1" applyNumberFormat="1" applyFont="1" applyFill="1" applyBorder="1"/>
    <xf numFmtId="0" fontId="17" fillId="5" borderId="18" xfId="2" applyFont="1" applyFill="1" applyBorder="1" applyAlignment="1">
      <alignment horizontal="center" vertical="top"/>
    </xf>
    <xf numFmtId="0" fontId="15" fillId="2" borderId="0" xfId="1" applyFont="1" applyFill="1"/>
    <xf numFmtId="12" fontId="22" fillId="4" borderId="15" xfId="1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12" fontId="22" fillId="4" borderId="21" xfId="1" applyNumberFormat="1" applyFont="1" applyFill="1" applyBorder="1" applyAlignment="1">
      <alignment horizontal="center" vertical="center" wrapText="1"/>
    </xf>
    <xf numFmtId="49" fontId="23" fillId="2" borderId="22" xfId="0" applyNumberFormat="1" applyFont="1" applyFill="1" applyBorder="1" applyAlignment="1">
      <alignment horizontal="center" vertical="center" wrapText="1"/>
    </xf>
    <xf numFmtId="0" fontId="17" fillId="5" borderId="23" xfId="2" applyFont="1" applyFill="1" applyBorder="1" applyAlignment="1">
      <alignment horizontal="center" vertical="top"/>
    </xf>
    <xf numFmtId="12" fontId="22" fillId="4" borderId="26" xfId="1" applyNumberFormat="1" applyFont="1" applyFill="1" applyBorder="1" applyAlignment="1">
      <alignment horizontal="center" vertical="center" wrapText="1"/>
    </xf>
    <xf numFmtId="49" fontId="23" fillId="2" borderId="27" xfId="0" applyNumberFormat="1" applyFont="1" applyFill="1" applyBorder="1" applyAlignment="1">
      <alignment horizontal="center" vertical="center" wrapText="1"/>
    </xf>
    <xf numFmtId="0" fontId="20" fillId="4" borderId="29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/>
    </xf>
    <xf numFmtId="0" fontId="8" fillId="2" borderId="0" xfId="1" applyFont="1" applyFill="1" applyAlignment="1">
      <alignment horizontal="center" wrapText="1"/>
    </xf>
    <xf numFmtId="0" fontId="14" fillId="6" borderId="29" xfId="1" applyFont="1" applyFill="1" applyBorder="1" applyAlignment="1">
      <alignment horizontal="center" vertical="center" wrapText="1"/>
    </xf>
    <xf numFmtId="12" fontId="21" fillId="6" borderId="26" xfId="1" applyNumberFormat="1" applyFont="1" applyFill="1" applyBorder="1" applyAlignment="1">
      <alignment horizontal="center" vertical="top" wrapText="1"/>
    </xf>
    <xf numFmtId="12" fontId="21" fillId="6" borderId="15" xfId="1" applyNumberFormat="1" applyFont="1" applyFill="1" applyBorder="1" applyAlignment="1">
      <alignment horizontal="center" vertical="top" wrapText="1"/>
    </xf>
    <xf numFmtId="12" fontId="21" fillId="6" borderId="21" xfId="1" applyNumberFormat="1" applyFont="1" applyFill="1" applyBorder="1" applyAlignment="1">
      <alignment horizontal="center" vertical="top" wrapText="1"/>
    </xf>
    <xf numFmtId="49" fontId="0" fillId="2" borderId="0" xfId="0" applyNumberFormat="1" applyFill="1"/>
    <xf numFmtId="49" fontId="2" fillId="2" borderId="10" xfId="1" applyNumberFormat="1" applyFont="1" applyFill="1" applyBorder="1" applyAlignment="1">
      <alignment horizontal="center" vertical="center"/>
    </xf>
    <xf numFmtId="49" fontId="6" fillId="2" borderId="10" xfId="1" applyNumberFormat="1" applyFont="1" applyFill="1" applyBorder="1"/>
    <xf numFmtId="49" fontId="1" fillId="2" borderId="2" xfId="1" applyNumberFormat="1" applyFill="1" applyBorder="1"/>
    <xf numFmtId="49" fontId="12" fillId="2" borderId="0" xfId="2" applyNumberFormat="1" applyFont="1" applyFill="1" applyAlignment="1">
      <alignment horizontal="center" vertical="center" wrapText="1"/>
    </xf>
    <xf numFmtId="49" fontId="8" fillId="2" borderId="0" xfId="1" applyNumberFormat="1" applyFont="1" applyFill="1" applyAlignment="1">
      <alignment horizontal="center" wrapText="1"/>
    </xf>
    <xf numFmtId="49" fontId="21" fillId="2" borderId="26" xfId="1" applyNumberFormat="1" applyFont="1" applyFill="1" applyBorder="1" applyAlignment="1">
      <alignment horizontal="center" vertical="top" wrapText="1"/>
    </xf>
    <xf numFmtId="49" fontId="21" fillId="2" borderId="15" xfId="1" applyNumberFormat="1" applyFont="1" applyFill="1" applyBorder="1" applyAlignment="1">
      <alignment horizontal="center" vertical="top" wrapText="1"/>
    </xf>
    <xf numFmtId="49" fontId="21" fillId="2" borderId="21" xfId="1" applyNumberFormat="1" applyFont="1" applyFill="1" applyBorder="1" applyAlignment="1">
      <alignment horizontal="center" vertical="top" wrapText="1"/>
    </xf>
    <xf numFmtId="49" fontId="6" fillId="2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49" fontId="5" fillId="2" borderId="10" xfId="1" applyNumberFormat="1" applyFont="1" applyFill="1" applyBorder="1"/>
    <xf numFmtId="49" fontId="14" fillId="2" borderId="0" xfId="0" applyNumberFormat="1" applyFont="1" applyFill="1" applyAlignment="1">
      <alignment horizontal="center"/>
    </xf>
    <xf numFmtId="49" fontId="14" fillId="2" borderId="29" xfId="1" applyNumberFormat="1" applyFont="1" applyFill="1" applyBorder="1" applyAlignment="1">
      <alignment horizontal="center" vertical="center" wrapText="1"/>
    </xf>
    <xf numFmtId="49" fontId="6" fillId="2" borderId="28" xfId="1" applyNumberFormat="1" applyFont="1" applyFill="1" applyBorder="1" applyAlignment="1">
      <alignment horizontal="center" vertical="center" wrapText="1"/>
    </xf>
    <xf numFmtId="49" fontId="21" fillId="2" borderId="25" xfId="1" applyNumberFormat="1" applyFont="1" applyFill="1" applyBorder="1" applyAlignment="1">
      <alignment horizontal="center" vertical="top" wrapText="1"/>
    </xf>
    <xf numFmtId="49" fontId="21" fillId="2" borderId="14" xfId="1" applyNumberFormat="1" applyFont="1" applyFill="1" applyBorder="1" applyAlignment="1">
      <alignment horizontal="center" vertical="top" wrapText="1"/>
    </xf>
    <xf numFmtId="49" fontId="21" fillId="2" borderId="20" xfId="1" applyNumberFormat="1" applyFont="1" applyFill="1" applyBorder="1" applyAlignment="1">
      <alignment horizontal="center" vertical="top" wrapText="1"/>
    </xf>
    <xf numFmtId="12" fontId="6" fillId="2" borderId="29" xfId="1" applyNumberFormat="1" applyFont="1" applyFill="1" applyBorder="1" applyAlignment="1">
      <alignment horizontal="center" vertical="center" wrapText="1"/>
    </xf>
    <xf numFmtId="12" fontId="21" fillId="2" borderId="26" xfId="1" applyNumberFormat="1" applyFont="1" applyFill="1" applyBorder="1" applyAlignment="1">
      <alignment horizontal="center" vertical="top" wrapText="1"/>
    </xf>
    <xf numFmtId="12" fontId="21" fillId="2" borderId="15" xfId="1" applyNumberFormat="1" applyFont="1" applyFill="1" applyBorder="1" applyAlignment="1">
      <alignment horizontal="center" vertical="top" wrapText="1"/>
    </xf>
    <xf numFmtId="12" fontId="21" fillId="2" borderId="21" xfId="1" applyNumberFormat="1" applyFont="1" applyFill="1" applyBorder="1" applyAlignment="1">
      <alignment horizontal="center" vertical="top" wrapText="1"/>
    </xf>
    <xf numFmtId="49" fontId="6" fillId="2" borderId="1" xfId="1" applyNumberFormat="1" applyFont="1" applyFill="1" applyBorder="1" applyAlignment="1">
      <alignment horizontal="center"/>
    </xf>
    <xf numFmtId="49" fontId="6" fillId="2" borderId="2" xfId="1" applyNumberFormat="1" applyFont="1" applyFill="1" applyBorder="1" applyAlignment="1">
      <alignment horizontal="center"/>
    </xf>
    <xf numFmtId="49" fontId="6" fillId="2" borderId="3" xfId="1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7" xfId="0" applyNumberFormat="1" applyBorder="1" applyAlignment="1">
      <alignment horizontal="center"/>
    </xf>
    <xf numFmtId="0" fontId="6" fillId="5" borderId="13" xfId="2" applyFont="1" applyFill="1" applyBorder="1" applyAlignment="1">
      <alignment horizontal="left" vertical="top"/>
    </xf>
    <xf numFmtId="0" fontId="6" fillId="2" borderId="0" xfId="1" applyFont="1" applyFill="1" applyAlignment="1">
      <alignment horizontal="center" vertical="center" wrapText="1"/>
    </xf>
    <xf numFmtId="0" fontId="6" fillId="5" borderId="7" xfId="2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13" fontId="6" fillId="2" borderId="0" xfId="2" applyNumberFormat="1" applyFont="1" applyFill="1" applyAlignment="1">
      <alignment horizontal="center" vertical="center" wrapText="1"/>
    </xf>
    <xf numFmtId="0" fontId="6" fillId="5" borderId="24" xfId="2" applyFont="1" applyFill="1" applyBorder="1" applyAlignment="1">
      <alignment horizontal="left" vertical="top"/>
    </xf>
    <xf numFmtId="0" fontId="2" fillId="3" borderId="7" xfId="1" applyFont="1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8" fillId="2" borderId="1" xfId="1" applyFont="1" applyFill="1" applyBorder="1" applyAlignment="1">
      <alignment horizontal="left" vertical="top" wrapText="1"/>
    </xf>
    <xf numFmtId="0" fontId="8" fillId="2" borderId="2" xfId="1" applyFont="1" applyFill="1" applyBorder="1" applyAlignment="1">
      <alignment horizontal="left" vertical="top" wrapText="1"/>
    </xf>
    <xf numFmtId="0" fontId="8" fillId="2" borderId="3" xfId="1" applyFont="1" applyFill="1" applyBorder="1" applyAlignment="1">
      <alignment horizontal="left" vertical="top" wrapText="1"/>
    </xf>
    <xf numFmtId="0" fontId="8" fillId="2" borderId="6" xfId="1" applyFont="1" applyFill="1" applyBorder="1" applyAlignment="1">
      <alignment horizontal="left" vertical="top" wrapText="1"/>
    </xf>
    <xf numFmtId="0" fontId="8" fillId="2" borderId="7" xfId="1" applyFont="1" applyFill="1" applyBorder="1" applyAlignment="1">
      <alignment horizontal="left" vertical="top" wrapText="1"/>
    </xf>
    <xf numFmtId="0" fontId="8" fillId="2" borderId="8" xfId="1" applyFont="1" applyFill="1" applyBorder="1" applyAlignment="1">
      <alignment horizontal="left" vertical="top" wrapText="1"/>
    </xf>
    <xf numFmtId="0" fontId="9" fillId="2" borderId="0" xfId="1" applyFont="1" applyFill="1" applyAlignment="1">
      <alignment horizontal="center" vertical="center" wrapText="1"/>
    </xf>
    <xf numFmtId="0" fontId="2" fillId="2" borderId="9" xfId="1" applyFont="1" applyFill="1" applyBorder="1" applyAlignment="1">
      <alignment horizontal="center" wrapText="1"/>
    </xf>
    <xf numFmtId="0" fontId="16" fillId="2" borderId="10" xfId="0" applyFont="1" applyFill="1" applyBorder="1" applyAlignment="1">
      <alignment horizontal="center" wrapText="1"/>
    </xf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27" fillId="0" borderId="0" xfId="0" applyFont="1" applyAlignment="1">
      <alignment horizontal="center" vertical="center"/>
    </xf>
    <xf numFmtId="0" fontId="28" fillId="5" borderId="23" xfId="2" applyFont="1" applyFill="1" applyBorder="1" applyAlignment="1">
      <alignment horizontal="center" vertical="top"/>
    </xf>
    <xf numFmtId="0" fontId="28" fillId="5" borderId="12" xfId="2" applyFont="1" applyFill="1" applyBorder="1" applyAlignment="1">
      <alignment horizontal="center" vertical="top"/>
    </xf>
    <xf numFmtId="0" fontId="29" fillId="0" borderId="12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5" fillId="5" borderId="13" xfId="2" applyFont="1" applyFill="1" applyBorder="1" applyAlignment="1">
      <alignment horizontal="right" vertical="top"/>
    </xf>
    <xf numFmtId="0" fontId="2" fillId="5" borderId="24" xfId="2" applyFont="1" applyFill="1" applyBorder="1" applyAlignment="1">
      <alignment horizontal="right" vertical="top"/>
    </xf>
    <xf numFmtId="0" fontId="3" fillId="5" borderId="31" xfId="2" applyFont="1" applyFill="1" applyBorder="1" applyAlignment="1">
      <alignment horizontal="right" vertical="top"/>
    </xf>
    <xf numFmtId="0" fontId="3" fillId="5" borderId="13" xfId="2" applyFont="1" applyFill="1" applyBorder="1" applyAlignment="1">
      <alignment horizontal="right" vertical="top"/>
    </xf>
    <xf numFmtId="0" fontId="3" fillId="5" borderId="32" xfId="2" applyFont="1" applyFill="1" applyBorder="1" applyAlignment="1">
      <alignment horizontal="right" vertical="top"/>
    </xf>
    <xf numFmtId="0" fontId="3" fillId="5" borderId="17" xfId="2" applyFont="1" applyFill="1" applyBorder="1" applyAlignment="1">
      <alignment horizontal="right" vertical="top"/>
    </xf>
    <xf numFmtId="0" fontId="3" fillId="6" borderId="29" xfId="1" applyFont="1" applyFill="1" applyBorder="1" applyAlignment="1">
      <alignment horizontal="center" vertical="center" wrapText="1"/>
    </xf>
    <xf numFmtId="12" fontId="3" fillId="2" borderId="29" xfId="1" applyNumberFormat="1" applyFont="1" applyFill="1" applyBorder="1" applyAlignment="1">
      <alignment horizontal="center" vertical="center" wrapText="1"/>
    </xf>
    <xf numFmtId="12" fontId="30" fillId="6" borderId="26" xfId="1" applyNumberFormat="1" applyFont="1" applyFill="1" applyBorder="1" applyAlignment="1">
      <alignment horizontal="center" vertical="top" wrapText="1"/>
    </xf>
    <xf numFmtId="12" fontId="30" fillId="2" borderId="26" xfId="1" applyNumberFormat="1" applyFont="1" applyFill="1" applyBorder="1" applyAlignment="1">
      <alignment horizontal="center" vertical="top" wrapText="1"/>
    </xf>
    <xf numFmtId="12" fontId="30" fillId="6" borderId="15" xfId="1" applyNumberFormat="1" applyFont="1" applyFill="1" applyBorder="1" applyAlignment="1">
      <alignment horizontal="center" vertical="top" wrapText="1"/>
    </xf>
    <xf numFmtId="12" fontId="30" fillId="2" borderId="15" xfId="1" applyNumberFormat="1" applyFont="1" applyFill="1" applyBorder="1" applyAlignment="1">
      <alignment horizontal="center" vertical="top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right"/>
    </xf>
    <xf numFmtId="20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17" fillId="0" borderId="0" xfId="0" applyFont="1"/>
    <xf numFmtId="0" fontId="2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32" fillId="0" borderId="0" xfId="0" applyFont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_Hoja1 2" xfId="2" xr:uid="{00000000-0005-0000-0000-000002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19050</xdr:rowOff>
    </xdr:from>
    <xdr:to>
      <xdr:col>4</xdr:col>
      <xdr:colOff>87630</xdr:colOff>
      <xdr:row>3</xdr:row>
      <xdr:rowOff>166687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209550"/>
          <a:ext cx="18478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733425</xdr:colOff>
      <xdr:row>20</xdr:row>
      <xdr:rowOff>38100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36445" y="38709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9525</xdr:colOff>
      <xdr:row>20</xdr:row>
      <xdr:rowOff>38100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12445" y="38709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13</xdr:col>
      <xdr:colOff>0</xdr:colOff>
      <xdr:row>22</xdr:row>
      <xdr:rowOff>76200</xdr:rowOff>
    </xdr:from>
    <xdr:ext cx="3743325" cy="269369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443084" y="4244340"/>
          <a:ext cx="3743325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2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13</xdr:col>
      <xdr:colOff>0</xdr:colOff>
      <xdr:row>22</xdr:row>
      <xdr:rowOff>66675</xdr:rowOff>
    </xdr:from>
    <xdr:ext cx="184731" cy="269369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4638020" y="4234815"/>
          <a:ext cx="184731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2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13</xdr:col>
      <xdr:colOff>0</xdr:colOff>
      <xdr:row>3</xdr:row>
      <xdr:rowOff>47625</xdr:rowOff>
    </xdr:from>
    <xdr:ext cx="184731" cy="269369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075545" y="657225"/>
          <a:ext cx="184731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200" b="1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219075</xdr:colOff>
      <xdr:row>43</xdr:row>
      <xdr:rowOff>28575</xdr:rowOff>
    </xdr:from>
    <xdr:to>
      <xdr:col>11</xdr:col>
      <xdr:colOff>523875</xdr:colOff>
      <xdr:row>47</xdr:row>
      <xdr:rowOff>57150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640455" y="8067675"/>
          <a:ext cx="4328160" cy="752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  <a:p>
          <a:endParaRPr lang="es-MX" sz="1100" baseline="0"/>
        </a:p>
      </xdr:txBody>
    </xdr:sp>
    <xdr:clientData/>
  </xdr:twoCellAnchor>
  <xdr:oneCellAnchor>
    <xdr:from>
      <xdr:col>3</xdr:col>
      <xdr:colOff>304800</xdr:colOff>
      <xdr:row>11</xdr:row>
      <xdr:rowOff>28575</xdr:rowOff>
    </xdr:from>
    <xdr:ext cx="38059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607820" y="2253615"/>
          <a:ext cx="3805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28576</xdr:colOff>
      <xdr:row>12</xdr:row>
      <xdr:rowOff>47625</xdr:rowOff>
    </xdr:from>
    <xdr:ext cx="232356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063116" y="2440305"/>
          <a:ext cx="2323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504825</xdr:colOff>
      <xdr:row>20</xdr:row>
      <xdr:rowOff>9525</xdr:rowOff>
    </xdr:from>
    <xdr:ext cx="317029" cy="3407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807845" y="3842385"/>
          <a:ext cx="317029" cy="340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638175</xdr:colOff>
      <xdr:row>11</xdr:row>
      <xdr:rowOff>76200</xdr:rowOff>
    </xdr:from>
    <xdr:ext cx="404835" cy="274085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41095" y="2301240"/>
          <a:ext cx="404835" cy="274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85725</xdr:colOff>
      <xdr:row>9</xdr:row>
      <xdr:rowOff>123825</xdr:rowOff>
    </xdr:from>
    <xdr:ext cx="4059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715125" y="2013585"/>
          <a:ext cx="4059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142875</xdr:colOff>
      <xdr:row>11</xdr:row>
      <xdr:rowOff>123825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38175" y="23869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47625</xdr:colOff>
      <xdr:row>19</xdr:row>
      <xdr:rowOff>47625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61925" y="37509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99060</xdr:colOff>
      <xdr:row>4</xdr:row>
      <xdr:rowOff>0</xdr:rowOff>
    </xdr:from>
    <xdr:ext cx="914400" cy="291234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" y="861060"/>
          <a:ext cx="91440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>
              <a:latin typeface="Arial Black" panose="020B0A04020102020204" pitchFamily="34" charset="0"/>
            </a:rPr>
            <a:t>CODIGO:</a:t>
          </a:r>
        </a:p>
      </xdr:txBody>
    </xdr:sp>
    <xdr:clientData/>
  </xdr:oneCellAnchor>
  <xdr:oneCellAnchor>
    <xdr:from>
      <xdr:col>2</xdr:col>
      <xdr:colOff>502921</xdr:colOff>
      <xdr:row>3</xdr:row>
      <xdr:rowOff>198120</xdr:rowOff>
    </xdr:from>
    <xdr:ext cx="944880" cy="321714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8221" y="845820"/>
          <a:ext cx="944880" cy="3217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b="1">
              <a:solidFill>
                <a:srgbClr val="FF0000"/>
              </a:solidFill>
              <a:latin typeface="Arial Black" panose="020B0A04020102020204" pitchFamily="34" charset="0"/>
            </a:rPr>
            <a:t>ANDREA</a:t>
          </a:r>
        </a:p>
      </xdr:txBody>
    </xdr:sp>
    <xdr:clientData/>
  </xdr:oneCellAnchor>
  <xdr:oneCellAnchor>
    <xdr:from>
      <xdr:col>1</xdr:col>
      <xdr:colOff>0</xdr:colOff>
      <xdr:row>4</xdr:row>
      <xdr:rowOff>220980</xdr:rowOff>
    </xdr:from>
    <xdr:ext cx="831666" cy="321714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14300" y="1082040"/>
          <a:ext cx="831666" cy="3217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b="1">
              <a:latin typeface="Arial Black" panose="020B0A04020102020204" pitchFamily="34" charset="0"/>
            </a:rPr>
            <a:t>LINEA:</a:t>
          </a:r>
        </a:p>
      </xdr:txBody>
    </xdr:sp>
    <xdr:clientData/>
  </xdr:oneCellAnchor>
  <xdr:oneCellAnchor>
    <xdr:from>
      <xdr:col>2</xdr:col>
      <xdr:colOff>449580</xdr:colOff>
      <xdr:row>5</xdr:row>
      <xdr:rowOff>7620</xdr:rowOff>
    </xdr:from>
    <xdr:ext cx="1689373" cy="22098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44880" y="1097280"/>
          <a:ext cx="1689373" cy="220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1100" b="1">
              <a:solidFill>
                <a:schemeClr val="tx1"/>
              </a:solidFill>
              <a:latin typeface="Arial Black" panose="020B0A04020102020204" pitchFamily="34" charset="0"/>
            </a:rPr>
            <a:t>ANDREA</a:t>
          </a:r>
          <a:r>
            <a:rPr lang="es-MX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 LENCERIA</a:t>
          </a:r>
        </a:p>
      </xdr:txBody>
    </xdr:sp>
    <xdr:clientData/>
  </xdr:oneCellAnchor>
  <xdr:oneCellAnchor>
    <xdr:from>
      <xdr:col>0</xdr:col>
      <xdr:colOff>76200</xdr:colOff>
      <xdr:row>6</xdr:row>
      <xdr:rowOff>15240</xdr:rowOff>
    </xdr:from>
    <xdr:ext cx="853440" cy="291234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6200" y="1318260"/>
          <a:ext cx="85344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>
              <a:latin typeface="Arial Black" panose="020B0A04020102020204" pitchFamily="34" charset="0"/>
            </a:rPr>
            <a:t>TALLAS:</a:t>
          </a:r>
        </a:p>
      </xdr:txBody>
    </xdr:sp>
    <xdr:clientData/>
  </xdr:oneCellAnchor>
  <xdr:oneCellAnchor>
    <xdr:from>
      <xdr:col>0</xdr:col>
      <xdr:colOff>91440</xdr:colOff>
      <xdr:row>6</xdr:row>
      <xdr:rowOff>220980</xdr:rowOff>
    </xdr:from>
    <xdr:ext cx="947854" cy="30931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1440" y="1524000"/>
          <a:ext cx="947854" cy="3093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200" b="1">
              <a:latin typeface="Arial Black" panose="020B0A04020102020204" pitchFamily="34" charset="0"/>
            </a:rPr>
            <a:t>COLOR:</a:t>
          </a:r>
        </a:p>
      </xdr:txBody>
    </xdr:sp>
    <xdr:clientData/>
  </xdr:oneCellAnchor>
  <xdr:oneCellAnchor>
    <xdr:from>
      <xdr:col>6</xdr:col>
      <xdr:colOff>670560</xdr:colOff>
      <xdr:row>2</xdr:row>
      <xdr:rowOff>220980</xdr:rowOff>
    </xdr:from>
    <xdr:ext cx="2628900" cy="31028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084320" y="640080"/>
          <a:ext cx="2628900" cy="310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b="1">
              <a:latin typeface="Arial Black" panose="020B0A04020102020204" pitchFamily="34" charset="0"/>
            </a:rPr>
            <a:t>FECHA:    07  OCTUBRE  2024</a:t>
          </a:r>
        </a:p>
      </xdr:txBody>
    </xdr:sp>
    <xdr:clientData/>
  </xdr:oneCellAnchor>
  <xdr:oneCellAnchor>
    <xdr:from>
      <xdr:col>6</xdr:col>
      <xdr:colOff>685800</xdr:colOff>
      <xdr:row>4</xdr:row>
      <xdr:rowOff>0</xdr:rowOff>
    </xdr:from>
    <xdr:ext cx="2515399" cy="291234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099560" y="861060"/>
          <a:ext cx="2515399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>
              <a:latin typeface="Arial Black" panose="020B0A04020102020204" pitchFamily="34" charset="0"/>
            </a:rPr>
            <a:t>CODIGO SWETER´S</a:t>
          </a:r>
          <a:r>
            <a:rPr lang="es-MX" sz="1100" b="1" baseline="0">
              <a:latin typeface="Arial Black" panose="020B0A04020102020204" pitchFamily="34" charset="0"/>
            </a:rPr>
            <a:t> LILIANA</a:t>
          </a:r>
          <a:endParaRPr lang="es-MX" sz="1100" b="1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6</xdr:col>
      <xdr:colOff>647700</xdr:colOff>
      <xdr:row>4</xdr:row>
      <xdr:rowOff>167640</xdr:rowOff>
    </xdr:from>
    <xdr:ext cx="1699260" cy="2133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061460" y="1028700"/>
          <a:ext cx="1699260" cy="213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b="1">
              <a:latin typeface="Arial Black" panose="020B0A04020102020204" pitchFamily="34" charset="0"/>
            </a:rPr>
            <a:t>DESCRIPCION:</a:t>
          </a:r>
        </a:p>
      </xdr:txBody>
    </xdr:sp>
    <xdr:clientData/>
  </xdr:oneCellAnchor>
  <xdr:oneCellAnchor>
    <xdr:from>
      <xdr:col>4</xdr:col>
      <xdr:colOff>457200</xdr:colOff>
      <xdr:row>4</xdr:row>
      <xdr:rowOff>7620</xdr:rowOff>
    </xdr:from>
    <xdr:ext cx="639599" cy="311496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84120" y="868680"/>
          <a:ext cx="63959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/>
            <a:t>43577</a:t>
          </a:r>
        </a:p>
      </xdr:txBody>
    </xdr:sp>
    <xdr:clientData/>
  </xdr:oneCellAnchor>
  <xdr:oneCellAnchor>
    <xdr:from>
      <xdr:col>10</xdr:col>
      <xdr:colOff>114300</xdr:colOff>
      <xdr:row>3</xdr:row>
      <xdr:rowOff>190500</xdr:rowOff>
    </xdr:from>
    <xdr:ext cx="796828" cy="380076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743700" y="838200"/>
          <a:ext cx="796828" cy="3800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1400" b="1"/>
            <a:t>D014P</a:t>
          </a:r>
        </a:p>
      </xdr:txBody>
    </xdr:sp>
    <xdr:clientData/>
  </xdr:oneCellAnchor>
  <xdr:oneCellAnchor>
    <xdr:from>
      <xdr:col>8</xdr:col>
      <xdr:colOff>426720</xdr:colOff>
      <xdr:row>5</xdr:row>
      <xdr:rowOff>0</xdr:rowOff>
    </xdr:from>
    <xdr:ext cx="3907228" cy="291234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478780" y="1089660"/>
          <a:ext cx="3907228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>
              <a:latin typeface="Arial Black" panose="020B0A04020102020204" pitchFamily="34" charset="0"/>
            </a:rPr>
            <a:t>PANTALETA</a:t>
          </a:r>
        </a:p>
      </xdr:txBody>
    </xdr:sp>
    <xdr:clientData/>
  </xdr:oneCellAnchor>
  <xdr:oneCellAnchor>
    <xdr:from>
      <xdr:col>4</xdr:col>
      <xdr:colOff>129540</xdr:colOff>
      <xdr:row>6</xdr:row>
      <xdr:rowOff>22860</xdr:rowOff>
    </xdr:from>
    <xdr:ext cx="670560" cy="26670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156460" y="1325880"/>
          <a:ext cx="67056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/>
            <a:t>CH- M</a:t>
          </a:r>
        </a:p>
      </xdr:txBody>
    </xdr:sp>
    <xdr:clientData/>
  </xdr:oneCellAnchor>
  <xdr:oneCellAnchor>
    <xdr:from>
      <xdr:col>5</xdr:col>
      <xdr:colOff>556260</xdr:colOff>
      <xdr:row>5</xdr:row>
      <xdr:rowOff>198120</xdr:rowOff>
    </xdr:from>
    <xdr:ext cx="571500" cy="359814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3307080" y="1287780"/>
          <a:ext cx="571500" cy="359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MX" sz="1100" b="1">
              <a:latin typeface="Arial Black" panose="020B0A04020102020204" pitchFamily="34" charset="0"/>
            </a:rPr>
            <a:t>G-EG</a:t>
          </a:r>
        </a:p>
      </xdr:txBody>
    </xdr:sp>
    <xdr:clientData/>
  </xdr:oneCellAnchor>
  <xdr:oneCellAnchor>
    <xdr:from>
      <xdr:col>3</xdr:col>
      <xdr:colOff>388621</xdr:colOff>
      <xdr:row>7</xdr:row>
      <xdr:rowOff>15240</xdr:rowOff>
    </xdr:from>
    <xdr:ext cx="1371600" cy="291234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684021" y="1562100"/>
          <a:ext cx="137160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 b="1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5</xdr:col>
      <xdr:colOff>327660</xdr:colOff>
      <xdr:row>6</xdr:row>
      <xdr:rowOff>228600</xdr:rowOff>
    </xdr:from>
    <xdr:ext cx="1352436" cy="336954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078480" y="1531620"/>
          <a:ext cx="1352436" cy="336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 b="1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3</xdr:col>
      <xdr:colOff>22861</xdr:colOff>
      <xdr:row>17</xdr:row>
      <xdr:rowOff>7620</xdr:rowOff>
    </xdr:from>
    <xdr:ext cx="220980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318261" y="3375660"/>
          <a:ext cx="2209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365760</xdr:colOff>
      <xdr:row>14</xdr:row>
      <xdr:rowOff>190500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861060" y="2956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601980</xdr:colOff>
      <xdr:row>11</xdr:row>
      <xdr:rowOff>152400</xdr:rowOff>
    </xdr:from>
    <xdr:ext cx="251460" cy="24384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897380" y="2415540"/>
          <a:ext cx="251460" cy="243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45721</xdr:colOff>
      <xdr:row>14</xdr:row>
      <xdr:rowOff>129540</xdr:rowOff>
    </xdr:from>
    <xdr:ext cx="251460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072641" y="2895600"/>
          <a:ext cx="2514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30480</xdr:colOff>
      <xdr:row>24</xdr:row>
      <xdr:rowOff>15240</xdr:rowOff>
    </xdr:from>
    <xdr:ext cx="251460" cy="2514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057400" y="4556760"/>
          <a:ext cx="25146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5</xdr:col>
      <xdr:colOff>548640</xdr:colOff>
      <xdr:row>22</xdr:row>
      <xdr:rowOff>160020</xdr:rowOff>
    </xdr:from>
    <xdr:ext cx="297181" cy="35600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99460" y="4366260"/>
          <a:ext cx="297181" cy="356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434341</xdr:colOff>
      <xdr:row>20</xdr:row>
      <xdr:rowOff>53340</xdr:rowOff>
    </xdr:from>
    <xdr:ext cx="266700" cy="22860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7063741" y="3924300"/>
          <a:ext cx="266700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396240</xdr:colOff>
      <xdr:row>17</xdr:row>
      <xdr:rowOff>99060</xdr:rowOff>
    </xdr:from>
    <xdr:ext cx="312420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7025640" y="3467100"/>
          <a:ext cx="312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457200</xdr:colOff>
      <xdr:row>14</xdr:row>
      <xdr:rowOff>99060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309360" y="28651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495301</xdr:colOff>
      <xdr:row>6</xdr:row>
      <xdr:rowOff>38100</xdr:rowOff>
    </xdr:from>
    <xdr:ext cx="883920" cy="291234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990601" y="1341120"/>
          <a:ext cx="883920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b="1">
              <a:latin typeface="Arial Black" panose="020B0A04020102020204" pitchFamily="34" charset="0"/>
            </a:rPr>
            <a:t>BITALLA</a:t>
          </a:r>
        </a:p>
      </xdr:txBody>
    </xdr:sp>
    <xdr:clientData/>
  </xdr:oneCellAnchor>
  <xdr:oneCellAnchor>
    <xdr:from>
      <xdr:col>4</xdr:col>
      <xdr:colOff>38101</xdr:colOff>
      <xdr:row>18</xdr:row>
      <xdr:rowOff>121920</xdr:rowOff>
    </xdr:from>
    <xdr:ext cx="266700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065021" y="3657600"/>
          <a:ext cx="2667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45721</xdr:colOff>
      <xdr:row>16</xdr:row>
      <xdr:rowOff>22860</xdr:rowOff>
    </xdr:from>
    <xdr:ext cx="236220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1341121" y="3223260"/>
          <a:ext cx="2362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5</xdr:col>
      <xdr:colOff>167640</xdr:colOff>
      <xdr:row>17</xdr:row>
      <xdr:rowOff>129540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2918460" y="3497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53340</xdr:colOff>
      <xdr:row>24</xdr:row>
      <xdr:rowOff>22860</xdr:rowOff>
    </xdr:from>
    <xdr:ext cx="397039" cy="31790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2080260" y="4564380"/>
          <a:ext cx="397039" cy="317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457201</xdr:colOff>
      <xdr:row>12</xdr:row>
      <xdr:rowOff>15240</xdr:rowOff>
    </xdr:from>
    <xdr:ext cx="289560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1752601" y="2446020"/>
          <a:ext cx="2895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45720</xdr:colOff>
      <xdr:row>17</xdr:row>
      <xdr:rowOff>114300</xdr:rowOff>
    </xdr:from>
    <xdr:ext cx="33735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2072640" y="3482340"/>
          <a:ext cx="3373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114301</xdr:colOff>
      <xdr:row>14</xdr:row>
      <xdr:rowOff>91440</xdr:rowOff>
    </xdr:from>
    <xdr:ext cx="152400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2141221" y="2857500"/>
          <a:ext cx="152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312420</xdr:colOff>
      <xdr:row>17</xdr:row>
      <xdr:rowOff>83820</xdr:rowOff>
    </xdr:from>
    <xdr:ext cx="236220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941820" y="3451860"/>
          <a:ext cx="2362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8</xdr:col>
      <xdr:colOff>685800</xdr:colOff>
      <xdr:row>14</xdr:row>
      <xdr:rowOff>160020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5737860" y="29260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5</xdr:col>
      <xdr:colOff>518160</xdr:colOff>
      <xdr:row>22</xdr:row>
      <xdr:rowOff>106680</xdr:rowOff>
    </xdr:from>
    <xdr:ext cx="405711" cy="37124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3268980" y="4312920"/>
          <a:ext cx="405711" cy="37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441960</xdr:colOff>
      <xdr:row>20</xdr:row>
      <xdr:rowOff>38100</xdr:rowOff>
    </xdr:from>
    <xdr:ext cx="228600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7071360" y="3909060"/>
          <a:ext cx="228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335280</xdr:colOff>
      <xdr:row>14</xdr:row>
      <xdr:rowOff>259080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830580" y="302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83820</xdr:colOff>
      <xdr:row>18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2110740" y="3535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556260</xdr:colOff>
      <xdr:row>24</xdr:row>
      <xdr:rowOff>15240</xdr:rowOff>
    </xdr:from>
    <xdr:ext cx="421438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851660" y="4556760"/>
          <a:ext cx="42143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236220</xdr:colOff>
      <xdr:row>12</xdr:row>
      <xdr:rowOff>7620</xdr:rowOff>
    </xdr:from>
    <xdr:ext cx="274320" cy="29718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2263140" y="2438400"/>
          <a:ext cx="274320" cy="297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15241</xdr:colOff>
      <xdr:row>14</xdr:row>
      <xdr:rowOff>68580</xdr:rowOff>
    </xdr:from>
    <xdr:ext cx="274320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2042161" y="2834640"/>
          <a:ext cx="274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472440</xdr:colOff>
      <xdr:row>17</xdr:row>
      <xdr:rowOff>53340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7101840" y="3421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8</xdr:col>
      <xdr:colOff>746760</xdr:colOff>
      <xdr:row>14</xdr:row>
      <xdr:rowOff>121920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579882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5</xdr:col>
      <xdr:colOff>609601</xdr:colOff>
      <xdr:row>22</xdr:row>
      <xdr:rowOff>152400</xdr:rowOff>
    </xdr:from>
    <xdr:ext cx="274320" cy="436786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3360421" y="4358640"/>
          <a:ext cx="27432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  <a:p>
          <a:endParaRPr lang="es-MX" sz="1100"/>
        </a:p>
      </xdr:txBody>
    </xdr:sp>
    <xdr:clientData/>
  </xdr:oneCellAnchor>
  <xdr:oneCellAnchor>
    <xdr:from>
      <xdr:col>10</xdr:col>
      <xdr:colOff>434341</xdr:colOff>
      <xdr:row>20</xdr:row>
      <xdr:rowOff>38100</xdr:rowOff>
    </xdr:from>
    <xdr:ext cx="220980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7063741" y="3909060"/>
          <a:ext cx="2209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38100</xdr:colOff>
      <xdr:row>27</xdr:row>
      <xdr:rowOff>53340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0911840" y="50977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350520</xdr:colOff>
      <xdr:row>14</xdr:row>
      <xdr:rowOff>205740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845820" y="2971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632460</xdr:colOff>
      <xdr:row>17</xdr:row>
      <xdr:rowOff>99060</xdr:rowOff>
    </xdr:from>
    <xdr:ext cx="37297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659380" y="3467100"/>
          <a:ext cx="3729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3</xdr:col>
      <xdr:colOff>662940</xdr:colOff>
      <xdr:row>23</xdr:row>
      <xdr:rowOff>91440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958340" y="4465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4</xdr:col>
      <xdr:colOff>167640</xdr:colOff>
      <xdr:row>14</xdr:row>
      <xdr:rowOff>0</xdr:rowOff>
    </xdr:from>
    <xdr:ext cx="442759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194560" y="2766060"/>
          <a:ext cx="4427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8</xdr:col>
      <xdr:colOff>640080</xdr:colOff>
      <xdr:row>14</xdr:row>
      <xdr:rowOff>45720</xdr:rowOff>
    </xdr:from>
    <xdr:ext cx="236220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692140" y="2811780"/>
          <a:ext cx="2362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6</xdr:col>
      <xdr:colOff>388620</xdr:colOff>
      <xdr:row>21</xdr:row>
      <xdr:rowOff>83820</xdr:rowOff>
    </xdr:from>
    <xdr:ext cx="792480" cy="70104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 flipH="1">
          <a:off x="3802380" y="4122420"/>
          <a:ext cx="792480" cy="701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 sz="1100">
            <a:solidFill>
              <a:srgbClr val="FFC000"/>
            </a:solidFill>
          </a:endParaRPr>
        </a:p>
        <a:p>
          <a:endParaRPr lang="es-MX" sz="1100">
            <a:solidFill>
              <a:srgbClr val="FFC000"/>
            </a:solidFill>
          </a:endParaRPr>
        </a:p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10</xdr:col>
      <xdr:colOff>320041</xdr:colOff>
      <xdr:row>19</xdr:row>
      <xdr:rowOff>76200</xdr:rowOff>
    </xdr:from>
    <xdr:ext cx="274320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949441" y="3779520"/>
          <a:ext cx="2743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2</xdr:col>
      <xdr:colOff>205740</xdr:colOff>
      <xdr:row>15</xdr:row>
      <xdr:rowOff>15240</xdr:rowOff>
    </xdr:from>
    <xdr:ext cx="296388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701040" y="3048000"/>
          <a:ext cx="2963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>
            <a:solidFill>
              <a:srgbClr val="FFC000"/>
            </a:solidFill>
          </a:endParaRPr>
        </a:p>
      </xdr:txBody>
    </xdr:sp>
    <xdr:clientData/>
  </xdr:oneCellAnchor>
  <xdr:oneCellAnchor>
    <xdr:from>
      <xdr:col>2</xdr:col>
      <xdr:colOff>403860</xdr:colOff>
      <xdr:row>6</xdr:row>
      <xdr:rowOff>228600</xdr:rowOff>
    </xdr:from>
    <xdr:ext cx="449580" cy="68903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99160" y="1531620"/>
          <a:ext cx="449580" cy="689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 b="1">
            <a:latin typeface="Arial Black" panose="020B0A04020102020204" pitchFamily="34" charset="0"/>
          </a:endParaRPr>
        </a:p>
        <a:p>
          <a:endParaRPr lang="es-MX" sz="1100" b="1">
            <a:latin typeface="Arial Black" panose="020B0A04020102020204" pitchFamily="34" charset="0"/>
          </a:endParaRPr>
        </a:p>
        <a:p>
          <a:endParaRPr lang="es-MX" sz="1100" b="1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2</xdr:col>
      <xdr:colOff>449580</xdr:colOff>
      <xdr:row>6</xdr:row>
      <xdr:rowOff>236220</xdr:rowOff>
    </xdr:from>
    <xdr:ext cx="2779031" cy="291234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944880" y="1539240"/>
          <a:ext cx="2779031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 b="1">
              <a:latin typeface="Arial Black" panose="020B0A04020102020204" pitchFamily="34" charset="0"/>
            </a:rPr>
            <a:t>ROSA</a:t>
          </a:r>
          <a:r>
            <a:rPr lang="es-MX" sz="1100" b="1" baseline="0">
              <a:latin typeface="Arial Black" panose="020B0A04020102020204" pitchFamily="34" charset="0"/>
            </a:rPr>
            <a:t>     LILA      MENTA OSCURO</a:t>
          </a:r>
          <a:endParaRPr lang="es-MX" sz="1100" b="1"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1</xdr:col>
      <xdr:colOff>274320</xdr:colOff>
      <xdr:row>41</xdr:row>
      <xdr:rowOff>152400</xdr:rowOff>
    </xdr:from>
    <xdr:to>
      <xdr:col>4</xdr:col>
      <xdr:colOff>708660</xdr:colOff>
      <xdr:row>50</xdr:row>
      <xdr:rowOff>144780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8763000"/>
          <a:ext cx="2346960" cy="1554480"/>
        </a:xfrm>
        <a:prstGeom prst="rect">
          <a:avLst/>
        </a:prstGeom>
      </xdr:spPr>
    </xdr:pic>
    <xdr:clientData/>
  </xdr:twoCellAnchor>
  <xdr:twoCellAnchor>
    <xdr:from>
      <xdr:col>6</xdr:col>
      <xdr:colOff>601980</xdr:colOff>
      <xdr:row>12</xdr:row>
      <xdr:rowOff>91440</xdr:rowOff>
    </xdr:from>
    <xdr:to>
      <xdr:col>8</xdr:col>
      <xdr:colOff>30480</xdr:colOff>
      <xdr:row>26</xdr:row>
      <xdr:rowOff>129540</xdr:rowOff>
    </xdr:to>
    <xdr:sp macro="" textlink="">
      <xdr:nvSpPr>
        <xdr:cNvPr id="41" name="Arc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015740" y="2522220"/>
          <a:ext cx="1066800" cy="2484120"/>
        </a:xfrm>
        <a:prstGeom prst="arc">
          <a:avLst>
            <a:gd name="adj1" fmla="val 443523"/>
            <a:gd name="adj2" fmla="val 50649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381000</xdr:colOff>
      <xdr:row>14</xdr:row>
      <xdr:rowOff>38100</xdr:rowOff>
    </xdr:from>
    <xdr:to>
      <xdr:col>7</xdr:col>
      <xdr:colOff>83820</xdr:colOff>
      <xdr:row>24</xdr:row>
      <xdr:rowOff>91440</xdr:rowOff>
    </xdr:to>
    <xdr:sp macro="" textlink="">
      <xdr:nvSpPr>
        <xdr:cNvPr id="43" name="Arc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794760" y="2804160"/>
          <a:ext cx="411480" cy="1828800"/>
        </a:xfrm>
        <a:prstGeom prst="arc">
          <a:avLst>
            <a:gd name="adj1" fmla="val 16985514"/>
            <a:gd name="adj2" fmla="val 469319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534546</xdr:colOff>
      <xdr:row>14</xdr:row>
      <xdr:rowOff>113842</xdr:rowOff>
    </xdr:from>
    <xdr:to>
      <xdr:col>8</xdr:col>
      <xdr:colOff>455497</xdr:colOff>
      <xdr:row>26</xdr:row>
      <xdr:rowOff>72344</xdr:rowOff>
    </xdr:to>
    <xdr:sp macro="" textlink="">
      <xdr:nvSpPr>
        <xdr:cNvPr id="46" name="Arc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rot="10431837">
          <a:off x="4656966" y="2879902"/>
          <a:ext cx="850591" cy="2069242"/>
        </a:xfrm>
        <a:prstGeom prst="arc">
          <a:avLst>
            <a:gd name="adj1" fmla="val 18985572"/>
            <a:gd name="adj2" fmla="val 436175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25943</xdr:colOff>
      <xdr:row>15</xdr:row>
      <xdr:rowOff>49989</xdr:rowOff>
    </xdr:from>
    <xdr:to>
      <xdr:col>7</xdr:col>
      <xdr:colOff>617220</xdr:colOff>
      <xdr:row>15</xdr:row>
      <xdr:rowOff>60960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43" idx="0"/>
        </xdr:cNvCxnSpPr>
      </xdr:nvCxnSpPr>
      <xdr:spPr>
        <a:xfrm>
          <a:off x="4148363" y="3082749"/>
          <a:ext cx="591277" cy="10971"/>
        </a:xfrm>
        <a:prstGeom prst="straightConnector1">
          <a:avLst/>
        </a:prstGeom>
        <a:ln>
          <a:prstDash val="sys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281940</xdr:colOff>
      <xdr:row>15</xdr:row>
      <xdr:rowOff>68580</xdr:rowOff>
    </xdr:from>
    <xdr:to>
      <xdr:col>7</xdr:col>
      <xdr:colOff>289560</xdr:colOff>
      <xdr:row>23</xdr:row>
      <xdr:rowOff>0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H="1">
          <a:off x="4404360" y="3101340"/>
          <a:ext cx="7620" cy="1272540"/>
        </a:xfrm>
        <a:prstGeom prst="straightConnector1">
          <a:avLst/>
        </a:prstGeom>
        <a:ln>
          <a:prstDash val="sys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23</xdr:row>
      <xdr:rowOff>68580</xdr:rowOff>
    </xdr:from>
    <xdr:to>
      <xdr:col>7</xdr:col>
      <xdr:colOff>609600</xdr:colOff>
      <xdr:row>23</xdr:row>
      <xdr:rowOff>68580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4137660" y="4442460"/>
          <a:ext cx="594360" cy="0"/>
        </a:xfrm>
        <a:prstGeom prst="straightConnector1">
          <a:avLst/>
        </a:prstGeom>
        <a:ln>
          <a:prstDash val="sys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647700</xdr:colOff>
      <xdr:row>12</xdr:row>
      <xdr:rowOff>15240</xdr:rowOff>
    </xdr:from>
    <xdr:ext cx="972058" cy="41148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061460" y="2446020"/>
          <a:ext cx="972058" cy="41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b="1">
              <a:latin typeface="Arial Black" panose="020B0A04020102020204" pitchFamily="34" charset="0"/>
            </a:rPr>
            <a:t>PUENTE</a:t>
          </a:r>
        </a:p>
      </xdr:txBody>
    </xdr:sp>
    <xdr:clientData/>
  </xdr:oneCellAnchor>
  <xdr:twoCellAnchor>
    <xdr:from>
      <xdr:col>8</xdr:col>
      <xdr:colOff>464821</xdr:colOff>
      <xdr:row>10</xdr:row>
      <xdr:rowOff>113746</xdr:rowOff>
    </xdr:from>
    <xdr:to>
      <xdr:col>12</xdr:col>
      <xdr:colOff>83305</xdr:colOff>
      <xdr:row>24</xdr:row>
      <xdr:rowOff>64445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5A0A4E81-3D86-BB33-8A85-04CB4BF6729E}"/>
            </a:ext>
          </a:extLst>
        </xdr:cNvPr>
        <xdr:cNvGrpSpPr/>
      </xdr:nvGrpSpPr>
      <xdr:grpSpPr>
        <a:xfrm>
          <a:off x="5389246" y="2190196"/>
          <a:ext cx="2990334" cy="2312899"/>
          <a:chOff x="5389246" y="2190196"/>
          <a:chExt cx="2990334" cy="2312899"/>
        </a:xfrm>
      </xdr:grpSpPr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89246" y="2190196"/>
            <a:ext cx="2990334" cy="2312899"/>
          </a:xfrm>
          <a:prstGeom prst="rect">
            <a:avLst/>
          </a:prstGeom>
        </xdr:spPr>
      </xdr:pic>
      <xdr:grpSp>
        <xdr:nvGrpSpPr>
          <xdr:cNvPr id="44" name="Grupo 43">
            <a:extLst>
              <a:ext uri="{FF2B5EF4-FFF2-40B4-BE49-F238E27FC236}">
                <a16:creationId xmlns:a16="http://schemas.microsoft.com/office/drawing/2014/main" id="{DDCDD176-3551-B468-F05E-382664431105}"/>
              </a:ext>
            </a:extLst>
          </xdr:cNvPr>
          <xdr:cNvGrpSpPr/>
        </xdr:nvGrpSpPr>
        <xdr:grpSpPr>
          <a:xfrm>
            <a:off x="6617970" y="2792730"/>
            <a:ext cx="403861" cy="1583055"/>
            <a:chOff x="6617970" y="2792730"/>
            <a:chExt cx="403861" cy="1583055"/>
          </a:xfrm>
        </xdr:grpSpPr>
        <xdr:sp macro="" textlink="">
          <xdr:nvSpPr>
            <xdr:cNvPr id="58" name="CuadroTexto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 txBox="1"/>
          </xdr:nvSpPr>
          <xdr:spPr>
            <a:xfrm>
              <a:off x="6732271" y="3204210"/>
              <a:ext cx="2895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MX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  <xdr:cxnSp macro="">
          <xdr:nvCxnSpPr>
            <xdr:cNvPr id="47" name="Conector recto de flecha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CxnSpPr/>
          </xdr:nvCxnSpPr>
          <xdr:spPr>
            <a:xfrm>
              <a:off x="6617970" y="2792730"/>
              <a:ext cx="38100" cy="1583055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7</xdr:col>
      <xdr:colOff>228600</xdr:colOff>
      <xdr:row>14</xdr:row>
      <xdr:rowOff>38100</xdr:rowOff>
    </xdr:from>
    <xdr:ext cx="306871" cy="21884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51020" y="2804160"/>
          <a:ext cx="306871" cy="218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/>
            <a:t>E</a:t>
          </a:r>
        </a:p>
      </xdr:txBody>
    </xdr:sp>
    <xdr:clientData/>
  </xdr:oneCellAnchor>
  <xdr:oneCellAnchor>
    <xdr:from>
      <xdr:col>7</xdr:col>
      <xdr:colOff>152400</xdr:colOff>
      <xdr:row>23</xdr:row>
      <xdr:rowOff>152400</xdr:rowOff>
    </xdr:from>
    <xdr:ext cx="266700" cy="23622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274820" y="4526280"/>
          <a:ext cx="266700" cy="236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/>
            <a:t>F</a:t>
          </a:r>
        </a:p>
      </xdr:txBody>
    </xdr:sp>
    <xdr:clientData/>
  </xdr:oneCellAnchor>
  <xdr:oneCellAnchor>
    <xdr:from>
      <xdr:col>7</xdr:col>
      <xdr:colOff>297181</xdr:colOff>
      <xdr:row>18</xdr:row>
      <xdr:rowOff>15240</xdr:rowOff>
    </xdr:from>
    <xdr:ext cx="251460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419601" y="3550920"/>
          <a:ext cx="2514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G</a:t>
          </a:r>
        </a:p>
      </xdr:txBody>
    </xdr:sp>
    <xdr:clientData/>
  </xdr:oneCellAnchor>
  <xdr:twoCellAnchor>
    <xdr:from>
      <xdr:col>2</xdr:col>
      <xdr:colOff>142908</xdr:colOff>
      <xdr:row>8</xdr:row>
      <xdr:rowOff>131445</xdr:rowOff>
    </xdr:from>
    <xdr:to>
      <xdr:col>6</xdr:col>
      <xdr:colOff>131446</xdr:colOff>
      <xdr:row>23</xdr:row>
      <xdr:rowOff>112048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287A79D1-3F34-A199-8CCA-F0E8894E8C74}"/>
            </a:ext>
          </a:extLst>
        </xdr:cNvPr>
        <xdr:cNvGrpSpPr/>
      </xdr:nvGrpSpPr>
      <xdr:grpSpPr>
        <a:xfrm>
          <a:off x="628683" y="1884045"/>
          <a:ext cx="2836513" cy="2504728"/>
          <a:chOff x="628683" y="1884045"/>
          <a:chExt cx="2836513" cy="2504728"/>
        </a:xfrm>
      </xdr:grpSpPr>
      <xdr:grpSp>
        <xdr:nvGrpSpPr>
          <xdr:cNvPr id="40" name="Grupo 39">
            <a:extLst>
              <a:ext uri="{FF2B5EF4-FFF2-40B4-BE49-F238E27FC236}">
                <a16:creationId xmlns:a16="http://schemas.microsoft.com/office/drawing/2014/main" id="{0916B50F-5E2E-E183-3D77-117D4432E54C}"/>
              </a:ext>
            </a:extLst>
          </xdr:cNvPr>
          <xdr:cNvGrpSpPr/>
        </xdr:nvGrpSpPr>
        <xdr:grpSpPr>
          <a:xfrm>
            <a:off x="628683" y="1884045"/>
            <a:ext cx="2836513" cy="2504728"/>
            <a:chOff x="733458" y="2026920"/>
            <a:chExt cx="2836513" cy="2504728"/>
          </a:xfrm>
        </xdr:grpSpPr>
        <xdr:grpSp>
          <xdr:nvGrpSpPr>
            <xdr:cNvPr id="39" name="Grupo 38">
              <a:extLst>
                <a:ext uri="{FF2B5EF4-FFF2-40B4-BE49-F238E27FC236}">
                  <a16:creationId xmlns:a16="http://schemas.microsoft.com/office/drawing/2014/main" id="{BCEC8078-807C-8DB5-4305-008BDF4AE21F}"/>
                </a:ext>
              </a:extLst>
            </xdr:cNvPr>
            <xdr:cNvGrpSpPr/>
          </xdr:nvGrpSpPr>
          <xdr:grpSpPr>
            <a:xfrm>
              <a:off x="733458" y="2026920"/>
              <a:ext cx="2752659" cy="2504728"/>
              <a:chOff x="666783" y="1922145"/>
              <a:chExt cx="2752659" cy="2504728"/>
            </a:xfrm>
          </xdr:grpSpPr>
          <xdr:pic>
            <xdr:nvPicPr>
              <xdr:cNvPr id="37" name="Imagen 36">
                <a:extLs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66783" y="2116801"/>
                <a:ext cx="2752659" cy="2310072"/>
              </a:xfrm>
              <a:prstGeom prst="rect">
                <a:avLst/>
              </a:prstGeom>
            </xdr:spPr>
          </xdr:pic>
          <xdr:cxnSp macro="">
            <xdr:nvCxnSpPr>
              <xdr:cNvPr id="81" name="Conector recto de flecha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CxnSpPr/>
            </xdr:nvCxnSpPr>
            <xdr:spPr>
              <a:xfrm flipV="1">
                <a:off x="965835" y="2245995"/>
                <a:ext cx="2124075" cy="30480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83" name="Conector recto de flecha 82">
                <a:extLst>
                  <a:ext uri="{FF2B5EF4-FFF2-40B4-BE49-F238E27FC236}">
                    <a16:creationId xmlns:a16="http://schemas.microsoft.com/office/drawing/2014/main" id="{00000000-0008-0000-0000-000053000000}"/>
                  </a:ext>
                </a:extLst>
              </xdr:cNvPr>
              <xdr:cNvCxnSpPr/>
            </xdr:nvCxnSpPr>
            <xdr:spPr>
              <a:xfrm flipH="1">
                <a:off x="3219450" y="2352675"/>
                <a:ext cx="7620" cy="440055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87" name="Conector recto de flecha 86">
                <a:extLst>
                  <a:ext uri="{FF2B5EF4-FFF2-40B4-BE49-F238E27FC236}">
                    <a16:creationId xmlns:a16="http://schemas.microsoft.com/office/drawing/2014/main" id="{00000000-0008-0000-0000-000057000000}"/>
                  </a:ext>
                </a:extLst>
              </xdr:cNvPr>
              <xdr:cNvCxnSpPr/>
            </xdr:nvCxnSpPr>
            <xdr:spPr>
              <a:xfrm>
                <a:off x="889635" y="3042285"/>
                <a:ext cx="750570" cy="1194435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4" name="CuadroTexto 3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 txBox="1"/>
            </xdr:nvSpPr>
            <xdr:spPr>
              <a:xfrm>
                <a:off x="1967866" y="1922145"/>
                <a:ext cx="29718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es-MX" sz="1100"/>
                  <a:t>A</a:t>
                </a:r>
              </a:p>
            </xdr:txBody>
          </xdr:sp>
          <xdr:sp macro="" textlink="">
            <xdr:nvSpPr>
              <xdr:cNvPr id="36" name="CuadroTexto 35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 txBox="1"/>
            </xdr:nvSpPr>
            <xdr:spPr>
              <a:xfrm>
                <a:off x="1057275" y="3619500"/>
                <a:ext cx="261418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B</a:t>
                </a:r>
              </a:p>
            </xdr:txBody>
          </xdr:sp>
        </xdr:grpSp>
        <xdr:cxnSp macro="">
          <xdr:nvCxnSpPr>
            <xdr:cNvPr id="89" name="Conector recto de flecha 88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CxnSpPr/>
          </xdr:nvCxnSpPr>
          <xdr:spPr>
            <a:xfrm flipH="1">
              <a:off x="2076450" y="2759275"/>
              <a:ext cx="15241" cy="1387910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 txBox="1"/>
          </xdr:nvSpPr>
          <xdr:spPr>
            <a:xfrm>
              <a:off x="3272791" y="2461260"/>
              <a:ext cx="297180" cy="320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s-MX" sz="1100"/>
                <a:t>H</a:t>
              </a:r>
            </a:p>
          </xdr:txBody>
        </xdr:sp>
      </xdr:grpSp>
      <xdr:sp macro="" textlink="">
        <xdr:nvSpPr>
          <xdr:cNvPr id="57" name="CuadroTexto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981201" y="2996565"/>
            <a:ext cx="21336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MX" sz="1100">
                <a:solidFill>
                  <a:sysClr val="windowText" lastClr="000000"/>
                </a:solidFill>
              </a:rPr>
              <a:t>C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685800</xdr:colOff>
      <xdr:row>2</xdr:row>
      <xdr:rowOff>130294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AFB1A4-7087-47A6-BFE8-B0FCB0DE3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438275" cy="482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104776</xdr:rowOff>
    </xdr:from>
    <xdr:to>
      <xdr:col>3</xdr:col>
      <xdr:colOff>38100</xdr:colOff>
      <xdr:row>11</xdr:row>
      <xdr:rowOff>171451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F37DAAEE-FDF1-4A69-973B-C3B15166565A}"/>
            </a:ext>
          </a:extLst>
        </xdr:cNvPr>
        <xdr:cNvGrpSpPr/>
      </xdr:nvGrpSpPr>
      <xdr:grpSpPr>
        <a:xfrm>
          <a:off x="0" y="485776"/>
          <a:ext cx="2324100" cy="2057400"/>
          <a:chOff x="628683" y="1884045"/>
          <a:chExt cx="2836513" cy="2504728"/>
        </a:xfrm>
      </xdr:grpSpPr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F760F216-7C3B-FEB3-B8B9-A8CFD4A37193}"/>
              </a:ext>
            </a:extLst>
          </xdr:cNvPr>
          <xdr:cNvGrpSpPr/>
        </xdr:nvGrpSpPr>
        <xdr:grpSpPr>
          <a:xfrm>
            <a:off x="628683" y="1884045"/>
            <a:ext cx="2836513" cy="2504728"/>
            <a:chOff x="733458" y="2026920"/>
            <a:chExt cx="2836513" cy="2504728"/>
          </a:xfrm>
        </xdr:grpSpPr>
        <xdr:grpSp>
          <xdr:nvGrpSpPr>
            <xdr:cNvPr id="8" name="Grupo 7">
              <a:extLst>
                <a:ext uri="{FF2B5EF4-FFF2-40B4-BE49-F238E27FC236}">
                  <a16:creationId xmlns:a16="http://schemas.microsoft.com/office/drawing/2014/main" id="{F6105D7E-1C74-B63C-A306-00116320BFAA}"/>
                </a:ext>
              </a:extLst>
            </xdr:cNvPr>
            <xdr:cNvGrpSpPr/>
          </xdr:nvGrpSpPr>
          <xdr:grpSpPr>
            <a:xfrm>
              <a:off x="733458" y="2026920"/>
              <a:ext cx="2752659" cy="2504728"/>
              <a:chOff x="666783" y="1922145"/>
              <a:chExt cx="2752659" cy="2504728"/>
            </a:xfrm>
          </xdr:grpSpPr>
          <xdr:pic>
            <xdr:nvPicPr>
              <xdr:cNvPr id="11" name="Imagen 10">
                <a:extLst>
                  <a:ext uri="{FF2B5EF4-FFF2-40B4-BE49-F238E27FC236}">
                    <a16:creationId xmlns:a16="http://schemas.microsoft.com/office/drawing/2014/main" id="{573E9FCA-07A0-3E5F-CECA-4D460A00716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66783" y="2116801"/>
                <a:ext cx="2752659" cy="2310072"/>
              </a:xfrm>
              <a:prstGeom prst="rect">
                <a:avLst/>
              </a:prstGeom>
            </xdr:spPr>
          </xdr:pic>
          <xdr:cxnSp macro="">
            <xdr:nvCxnSpPr>
              <xdr:cNvPr id="12" name="Conector recto de flecha 11">
                <a:extLst>
                  <a:ext uri="{FF2B5EF4-FFF2-40B4-BE49-F238E27FC236}">
                    <a16:creationId xmlns:a16="http://schemas.microsoft.com/office/drawing/2014/main" id="{C86B7271-2BF6-836F-0507-3E482BAA52E6}"/>
                  </a:ext>
                </a:extLst>
              </xdr:cNvPr>
              <xdr:cNvCxnSpPr/>
            </xdr:nvCxnSpPr>
            <xdr:spPr>
              <a:xfrm flipV="1">
                <a:off x="965835" y="2245995"/>
                <a:ext cx="2124075" cy="30480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cto de flecha 12">
                <a:extLst>
                  <a:ext uri="{FF2B5EF4-FFF2-40B4-BE49-F238E27FC236}">
                    <a16:creationId xmlns:a16="http://schemas.microsoft.com/office/drawing/2014/main" id="{96B79FAA-66B6-53E8-D91E-8958E794FA80}"/>
                  </a:ext>
                </a:extLst>
              </xdr:cNvPr>
              <xdr:cNvCxnSpPr/>
            </xdr:nvCxnSpPr>
            <xdr:spPr>
              <a:xfrm flipH="1">
                <a:off x="3219450" y="2352675"/>
                <a:ext cx="7620" cy="440055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Conector recto de flecha 13">
                <a:extLst>
                  <a:ext uri="{FF2B5EF4-FFF2-40B4-BE49-F238E27FC236}">
                    <a16:creationId xmlns:a16="http://schemas.microsoft.com/office/drawing/2014/main" id="{DB43D78B-5158-73D2-C477-165D1E9FB418}"/>
                  </a:ext>
                </a:extLst>
              </xdr:cNvPr>
              <xdr:cNvCxnSpPr/>
            </xdr:nvCxnSpPr>
            <xdr:spPr>
              <a:xfrm>
                <a:off x="889635" y="3042285"/>
                <a:ext cx="750570" cy="1194435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D71095B5-7613-0732-330C-447F85B16307}"/>
                  </a:ext>
                </a:extLst>
              </xdr:cNvPr>
              <xdr:cNvSpPr txBox="1"/>
            </xdr:nvSpPr>
            <xdr:spPr>
              <a:xfrm>
                <a:off x="1967866" y="1922145"/>
                <a:ext cx="29718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es-MX" sz="1100"/>
                  <a:t>A</a:t>
                </a:r>
              </a:p>
            </xdr:txBody>
          </xdr:sp>
          <xdr:sp macro="" textlink="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FB3C79EA-9F86-E3B0-7EE4-9215833F6232}"/>
                  </a:ext>
                </a:extLst>
              </xdr:cNvPr>
              <xdr:cNvSpPr txBox="1"/>
            </xdr:nvSpPr>
            <xdr:spPr>
              <a:xfrm>
                <a:off x="1057275" y="3619500"/>
                <a:ext cx="261418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B</a:t>
                </a:r>
              </a:p>
            </xdr:txBody>
          </xdr:sp>
        </xdr:grpSp>
        <xdr:cxnSp macro="">
          <xdr:nvCxnSpPr>
            <xdr:cNvPr id="9" name="Conector recto de flecha 8">
              <a:extLst>
                <a:ext uri="{FF2B5EF4-FFF2-40B4-BE49-F238E27FC236}">
                  <a16:creationId xmlns:a16="http://schemas.microsoft.com/office/drawing/2014/main" id="{C2ABDFB8-68F2-0F90-44E1-C871A56D1A95}"/>
                </a:ext>
              </a:extLst>
            </xdr:cNvPr>
            <xdr:cNvCxnSpPr/>
          </xdr:nvCxnSpPr>
          <xdr:spPr>
            <a:xfrm flipH="1">
              <a:off x="2076450" y="2759275"/>
              <a:ext cx="15241" cy="1387910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4A36CAF-0E90-B62C-F622-8B5C823F9568}"/>
                </a:ext>
              </a:extLst>
            </xdr:cNvPr>
            <xdr:cNvSpPr txBox="1"/>
          </xdr:nvSpPr>
          <xdr:spPr>
            <a:xfrm>
              <a:off x="3272791" y="2461260"/>
              <a:ext cx="297180" cy="320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s-MX" sz="1100"/>
                <a:t>H</a:t>
              </a:r>
            </a:p>
          </xdr:txBody>
        </xdr:sp>
      </xdr:grp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D183C916-37CB-CE17-F57C-9406EFBFB429}"/>
              </a:ext>
            </a:extLst>
          </xdr:cNvPr>
          <xdr:cNvSpPr txBox="1"/>
        </xdr:nvSpPr>
        <xdr:spPr>
          <a:xfrm>
            <a:off x="1981201" y="2996565"/>
            <a:ext cx="21336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MX" sz="1100">
                <a:solidFill>
                  <a:sysClr val="windowText" lastClr="000000"/>
                </a:solidFill>
              </a:rPr>
              <a:t>C</a:t>
            </a:r>
          </a:p>
        </xdr:txBody>
      </xdr:sp>
    </xdr:grpSp>
    <xdr:clientData/>
  </xdr:twoCellAnchor>
  <xdr:twoCellAnchor>
    <xdr:from>
      <xdr:col>3</xdr:col>
      <xdr:colOff>85724</xdr:colOff>
      <xdr:row>4</xdr:row>
      <xdr:rowOff>1</xdr:rowOff>
    </xdr:from>
    <xdr:to>
      <xdr:col>6</xdr:col>
      <xdr:colOff>76199</xdr:colOff>
      <xdr:row>11</xdr:row>
      <xdr:rowOff>104776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D9C38E4A-E99E-42AB-9430-EAFE8819D9EF}"/>
            </a:ext>
          </a:extLst>
        </xdr:cNvPr>
        <xdr:cNvGrpSpPr/>
      </xdr:nvGrpSpPr>
      <xdr:grpSpPr>
        <a:xfrm>
          <a:off x="2371724" y="762001"/>
          <a:ext cx="2038350" cy="1714500"/>
          <a:chOff x="5389246" y="2190196"/>
          <a:chExt cx="2990334" cy="2312899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B74829F8-309F-8598-55FE-8DC0395BAA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89246" y="2190196"/>
            <a:ext cx="2990334" cy="2312899"/>
          </a:xfrm>
          <a:prstGeom prst="rect">
            <a:avLst/>
          </a:prstGeom>
        </xdr:spPr>
      </xdr:pic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E4093DF9-D8DF-40DA-F75A-829AD522136F}"/>
              </a:ext>
            </a:extLst>
          </xdr:cNvPr>
          <xdr:cNvGrpSpPr/>
        </xdr:nvGrpSpPr>
        <xdr:grpSpPr>
          <a:xfrm>
            <a:off x="6617970" y="2792730"/>
            <a:ext cx="403861" cy="1583055"/>
            <a:chOff x="6617970" y="2792730"/>
            <a:chExt cx="403861" cy="1583055"/>
          </a:xfrm>
        </xdr:grpSpPr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39A7A556-AE31-364E-6EC3-A44BFC5E7D35}"/>
                </a:ext>
              </a:extLst>
            </xdr:cNvPr>
            <xdr:cNvSpPr txBox="1"/>
          </xdr:nvSpPr>
          <xdr:spPr>
            <a:xfrm>
              <a:off x="6732271" y="3204210"/>
              <a:ext cx="2895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MX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  <xdr:cxnSp macro="">
          <xdr:nvCxnSpPr>
            <xdr:cNvPr id="21" name="Conector recto de flecha 20">
              <a:extLst>
                <a:ext uri="{FF2B5EF4-FFF2-40B4-BE49-F238E27FC236}">
                  <a16:creationId xmlns:a16="http://schemas.microsoft.com/office/drawing/2014/main" id="{0D249620-A632-DA26-716D-B0CD79504C56}"/>
                </a:ext>
              </a:extLst>
            </xdr:cNvPr>
            <xdr:cNvCxnSpPr/>
          </xdr:nvCxnSpPr>
          <xdr:spPr>
            <a:xfrm>
              <a:off x="6617970" y="2792730"/>
              <a:ext cx="38100" cy="1583055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6</xdr:col>
      <xdr:colOff>123825</xdr:colOff>
      <xdr:row>3</xdr:row>
      <xdr:rowOff>76200</xdr:rowOff>
    </xdr:from>
    <xdr:to>
      <xdr:col>9</xdr:col>
      <xdr:colOff>158115</xdr:colOff>
      <xdr:row>9</xdr:row>
      <xdr:rowOff>114300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3C362AA-44D7-40CB-B805-2DA3BEAC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647700"/>
          <a:ext cx="2301240" cy="13239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676275</xdr:colOff>
      <xdr:row>2</xdr:row>
      <xdr:rowOff>101719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1C0A257-6CF6-4ED0-A45D-E38231B9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0"/>
          <a:ext cx="1438275" cy="482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0</xdr:row>
      <xdr:rowOff>1</xdr:rowOff>
    </xdr:from>
    <xdr:to>
      <xdr:col>22</xdr:col>
      <xdr:colOff>666750</xdr:colOff>
      <xdr:row>4</xdr:row>
      <xdr:rowOff>60005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40F9679-2E2E-4EE6-98D1-54586716E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0" y="1"/>
          <a:ext cx="1428750" cy="822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showGridLines="0" zoomScaleNormal="100" workbookViewId="0">
      <selection activeCell="O31" sqref="O31"/>
    </sheetView>
    <sheetView tabSelected="1" workbookViewId="1">
      <selection activeCell="M45" sqref="M45"/>
    </sheetView>
  </sheetViews>
  <sheetFormatPr baseColWidth="10" defaultColWidth="11.42578125" defaultRowHeight="12.75" x14ac:dyDescent="0.2"/>
  <cols>
    <col min="1" max="1" width="1.7109375" customWidth="1"/>
    <col min="2" max="2" width="5.5703125" customWidth="1"/>
    <col min="3" max="3" width="11.7109375" customWidth="1"/>
    <col min="4" max="4" width="10.7109375" customWidth="1"/>
    <col min="5" max="5" width="10.5703125" customWidth="1"/>
    <col min="6" max="6" width="9.7109375" customWidth="1"/>
    <col min="7" max="7" width="10.28515625" customWidth="1"/>
    <col min="8" max="8" width="13.5703125" customWidth="1"/>
    <col min="9" max="9" width="11.7109375" customWidth="1"/>
    <col min="10" max="10" width="11.28515625" style="80" customWidth="1"/>
    <col min="11" max="11" width="11.85546875" style="80" customWidth="1"/>
    <col min="12" max="12" width="15.7109375" customWidth="1"/>
  </cols>
  <sheetData>
    <row r="1" spans="1:13" ht="15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70"/>
      <c r="K1" s="70"/>
      <c r="L1" s="1"/>
      <c r="M1" s="1"/>
    </row>
    <row r="2" spans="1:13" ht="18" customHeight="1" x14ac:dyDescent="0.2">
      <c r="A2" s="1"/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1:13" ht="18" customHeight="1" x14ac:dyDescent="0.2">
      <c r="A3" s="1"/>
      <c r="B3" s="103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3" ht="16.899999999999999" customHeight="1" thickBot="1" x14ac:dyDescent="0.3">
      <c r="A4" s="1"/>
      <c r="B4" s="4"/>
      <c r="C4" s="5"/>
      <c r="D4" s="5"/>
      <c r="E4" s="5"/>
      <c r="F4" s="5"/>
      <c r="G4" s="5"/>
      <c r="H4" s="108"/>
      <c r="I4" s="109"/>
      <c r="J4" s="109"/>
      <c r="K4" s="109"/>
      <c r="L4" s="109"/>
      <c r="M4" s="110"/>
    </row>
    <row r="5" spans="1:13" ht="18.75" thickBot="1" x14ac:dyDescent="0.3">
      <c r="A5" s="1"/>
      <c r="B5" s="6"/>
      <c r="C5" s="7"/>
      <c r="D5" s="7"/>
      <c r="E5" s="8"/>
      <c r="F5" s="7"/>
      <c r="G5" s="7"/>
      <c r="H5" s="9"/>
      <c r="I5" s="10"/>
      <c r="J5" s="71"/>
      <c r="K5" s="81"/>
      <c r="L5" s="10"/>
      <c r="M5" s="11"/>
    </row>
    <row r="6" spans="1:13" ht="16.899999999999999" customHeight="1" thickBot="1" x14ac:dyDescent="0.25">
      <c r="A6" s="1"/>
      <c r="B6" s="12"/>
      <c r="C6" s="13"/>
      <c r="D6" s="14"/>
      <c r="F6" s="13"/>
      <c r="G6" s="15"/>
      <c r="H6" s="12"/>
      <c r="I6" s="13"/>
      <c r="J6" s="72"/>
      <c r="K6" s="72"/>
      <c r="L6" s="13"/>
      <c r="M6" s="16"/>
    </row>
    <row r="7" spans="1:13" ht="19.149999999999999" customHeight="1" thickBot="1" x14ac:dyDescent="0.3">
      <c r="A7" s="1"/>
      <c r="B7" s="12"/>
      <c r="C7" s="13"/>
      <c r="D7" s="10"/>
      <c r="E7" s="13"/>
      <c r="F7" s="13"/>
      <c r="G7" s="13"/>
      <c r="H7" s="111"/>
      <c r="I7" s="112"/>
      <c r="J7" s="112"/>
      <c r="K7" s="112"/>
      <c r="L7" s="112"/>
      <c r="M7" s="113"/>
    </row>
    <row r="8" spans="1:13" ht="16.899999999999999" customHeight="1" thickBot="1" x14ac:dyDescent="0.25">
      <c r="A8" s="1"/>
      <c r="B8" s="12"/>
      <c r="C8" s="13"/>
      <c r="D8" s="13"/>
      <c r="E8" s="13"/>
      <c r="F8" s="13"/>
      <c r="G8" s="13"/>
      <c r="H8" s="114"/>
      <c r="I8" s="115"/>
      <c r="J8" s="115"/>
      <c r="K8" s="115"/>
      <c r="L8" s="115"/>
      <c r="M8" s="116"/>
    </row>
    <row r="9" spans="1:13" x14ac:dyDescent="0.2">
      <c r="A9" s="1"/>
      <c r="B9" s="17"/>
      <c r="C9" s="18"/>
      <c r="D9" s="18"/>
      <c r="E9" s="18"/>
      <c r="F9" s="18"/>
      <c r="G9" s="2"/>
      <c r="H9" s="2"/>
      <c r="I9" s="2"/>
      <c r="J9" s="73"/>
      <c r="K9" s="73"/>
      <c r="L9" s="2"/>
      <c r="M9" s="3"/>
    </row>
    <row r="10" spans="1:13" x14ac:dyDescent="0.2">
      <c r="A10" s="1"/>
      <c r="B10" s="19"/>
      <c r="C10" s="20"/>
      <c r="D10" s="20"/>
      <c r="E10" s="20"/>
      <c r="F10" s="20"/>
      <c r="G10" s="21"/>
      <c r="H10" s="21"/>
      <c r="I10" s="21"/>
      <c r="J10" s="52"/>
      <c r="K10" s="52"/>
      <c r="L10" s="21"/>
      <c r="M10" s="22"/>
    </row>
    <row r="11" spans="1:13" x14ac:dyDescent="0.2">
      <c r="A11" s="1"/>
      <c r="B11" s="19"/>
      <c r="C11" s="20"/>
      <c r="D11" s="20"/>
      <c r="E11" s="20"/>
      <c r="F11" s="20"/>
      <c r="G11" s="21"/>
      <c r="H11" s="21"/>
      <c r="I11" s="21"/>
      <c r="J11" s="52"/>
      <c r="K11" s="52"/>
      <c r="L11" s="21"/>
      <c r="M11" s="22"/>
    </row>
    <row r="12" spans="1:13" x14ac:dyDescent="0.2">
      <c r="A12" s="1"/>
      <c r="B12" s="19"/>
      <c r="C12" s="20"/>
      <c r="D12" s="20"/>
      <c r="E12" s="20"/>
      <c r="F12" s="20"/>
      <c r="G12" s="21"/>
      <c r="H12" s="21"/>
      <c r="I12" s="21"/>
      <c r="J12" s="52"/>
      <c r="K12" s="52"/>
      <c r="L12" s="21"/>
      <c r="M12" s="22"/>
    </row>
    <row r="13" spans="1:13" x14ac:dyDescent="0.2">
      <c r="A13" s="1"/>
      <c r="B13" s="19"/>
      <c r="C13" s="20"/>
      <c r="D13" s="20"/>
      <c r="E13" s="20"/>
      <c r="F13" s="20"/>
      <c r="G13" s="21"/>
      <c r="H13" s="21"/>
      <c r="I13" s="21"/>
      <c r="J13" s="52"/>
      <c r="K13" s="52"/>
      <c r="L13" s="21"/>
      <c r="M13" s="22"/>
    </row>
    <row r="14" spans="1:13" x14ac:dyDescent="0.2">
      <c r="A14" s="1"/>
      <c r="B14" s="23"/>
      <c r="C14" s="21"/>
      <c r="D14" s="21"/>
      <c r="E14" s="21"/>
      <c r="F14" s="117"/>
      <c r="G14" s="117"/>
      <c r="H14" s="21"/>
      <c r="I14" s="21"/>
      <c r="J14" s="52"/>
      <c r="K14" s="52"/>
      <c r="L14" s="21"/>
      <c r="M14" s="22"/>
    </row>
    <row r="15" spans="1:13" ht="20.25" x14ac:dyDescent="0.3">
      <c r="A15" s="1"/>
      <c r="B15" s="23"/>
      <c r="C15" s="21"/>
      <c r="D15" s="24"/>
      <c r="E15" s="21"/>
      <c r="F15" s="117"/>
      <c r="G15" s="117"/>
      <c r="H15" s="21"/>
      <c r="I15" s="21"/>
      <c r="J15" s="52"/>
      <c r="K15" s="52"/>
      <c r="L15" s="21"/>
      <c r="M15" s="22"/>
    </row>
    <row r="16" spans="1:13" x14ac:dyDescent="0.2">
      <c r="A16" s="1"/>
      <c r="B16" s="23"/>
      <c r="C16" s="21"/>
      <c r="D16" s="21"/>
      <c r="E16" s="21"/>
      <c r="F16" s="117"/>
      <c r="G16" s="117"/>
      <c r="H16" s="21"/>
      <c r="I16" s="21"/>
      <c r="J16" s="52"/>
      <c r="K16" s="52"/>
      <c r="L16" s="21"/>
      <c r="M16" s="22"/>
    </row>
    <row r="17" spans="1:15" x14ac:dyDescent="0.2">
      <c r="A17" s="1"/>
      <c r="B17" s="23"/>
      <c r="C17" s="21"/>
      <c r="D17" s="21"/>
      <c r="E17" s="21"/>
      <c r="F17" s="21"/>
      <c r="G17" s="21"/>
      <c r="H17" s="21"/>
      <c r="I17" s="21"/>
      <c r="J17" s="52"/>
      <c r="K17" s="52"/>
      <c r="L17" s="21"/>
      <c r="M17" s="22"/>
    </row>
    <row r="18" spans="1:15" x14ac:dyDescent="0.2">
      <c r="A18" s="1"/>
      <c r="B18" s="19"/>
      <c r="C18" s="20"/>
      <c r="D18" s="20"/>
      <c r="E18" s="20"/>
      <c r="F18" s="20"/>
      <c r="G18" s="20"/>
      <c r="H18" s="20"/>
      <c r="I18" s="25"/>
      <c r="J18" s="52"/>
      <c r="K18" s="52"/>
      <c r="L18" s="25"/>
      <c r="M18" s="26"/>
    </row>
    <row r="19" spans="1:15" x14ac:dyDescent="0.2">
      <c r="A19" s="1"/>
      <c r="B19" s="27"/>
      <c r="C19" s="20"/>
      <c r="D19" s="20"/>
      <c r="E19" s="20"/>
      <c r="F19" s="20"/>
      <c r="G19" s="20"/>
      <c r="H19" s="20"/>
      <c r="I19" s="28"/>
      <c r="J19" s="74"/>
      <c r="K19" s="74"/>
      <c r="L19" s="28"/>
      <c r="M19" s="29"/>
    </row>
    <row r="20" spans="1:15" x14ac:dyDescent="0.2">
      <c r="A20" s="1"/>
      <c r="B20" s="27"/>
      <c r="C20" s="20"/>
      <c r="D20" s="20"/>
      <c r="E20" s="20"/>
      <c r="F20" s="20"/>
      <c r="G20" s="20"/>
      <c r="H20" s="20"/>
      <c r="I20" s="28"/>
      <c r="J20" s="74"/>
      <c r="K20" s="74"/>
      <c r="L20" s="28"/>
      <c r="M20" s="29"/>
    </row>
    <row r="21" spans="1:15" x14ac:dyDescent="0.2">
      <c r="A21" s="1"/>
      <c r="B21" s="27"/>
      <c r="C21" s="20"/>
      <c r="D21" s="20"/>
      <c r="E21" s="20"/>
      <c r="F21" s="20"/>
      <c r="G21" s="20"/>
      <c r="H21" s="20"/>
      <c r="I21" s="28"/>
      <c r="J21" s="74"/>
      <c r="K21" s="74"/>
      <c r="L21" s="28"/>
      <c r="M21" s="29"/>
    </row>
    <row r="22" spans="1:15" x14ac:dyDescent="0.2">
      <c r="A22" s="1"/>
      <c r="B22" s="27"/>
      <c r="C22" s="20"/>
      <c r="D22" s="20"/>
      <c r="E22" s="20"/>
      <c r="F22" s="20"/>
      <c r="G22" s="20"/>
      <c r="H22" s="20" t="s">
        <v>1</v>
      </c>
      <c r="I22" s="28"/>
      <c r="J22" s="74"/>
      <c r="K22" s="74"/>
      <c r="L22" s="28"/>
      <c r="M22" s="29"/>
    </row>
    <row r="23" spans="1:15" x14ac:dyDescent="0.2">
      <c r="A23" s="1"/>
      <c r="B23" s="27"/>
      <c r="C23" s="20"/>
      <c r="D23" s="20"/>
      <c r="E23" s="20"/>
      <c r="F23" s="20"/>
      <c r="G23" s="20"/>
      <c r="H23" s="20"/>
      <c r="I23" s="28"/>
      <c r="J23" s="74"/>
      <c r="K23" s="74"/>
      <c r="L23" s="28"/>
      <c r="M23" s="29"/>
    </row>
    <row r="24" spans="1:15" x14ac:dyDescent="0.2">
      <c r="A24" s="1"/>
      <c r="B24" s="27"/>
      <c r="C24" s="21"/>
      <c r="D24" s="20"/>
      <c r="E24" s="20"/>
      <c r="F24" s="20"/>
      <c r="G24" s="20"/>
      <c r="H24" s="20"/>
      <c r="I24" s="28"/>
      <c r="J24" s="74"/>
      <c r="K24" s="74"/>
      <c r="L24" s="28"/>
      <c r="M24" s="22"/>
    </row>
    <row r="25" spans="1:15" x14ac:dyDescent="0.2">
      <c r="A25" s="1"/>
      <c r="B25" s="19"/>
      <c r="C25" s="21"/>
      <c r="D25" s="20"/>
      <c r="E25" s="20"/>
      <c r="F25" s="20"/>
      <c r="G25" s="20"/>
      <c r="H25" s="20"/>
      <c r="I25" s="28"/>
      <c r="J25" s="74"/>
      <c r="K25" s="74"/>
      <c r="L25" s="28"/>
      <c r="M25" s="29"/>
    </row>
    <row r="26" spans="1:15" x14ac:dyDescent="0.2">
      <c r="A26" s="1"/>
      <c r="B26" s="19"/>
      <c r="C26" s="21"/>
      <c r="D26" s="30"/>
      <c r="E26" s="30"/>
      <c r="F26" s="30"/>
      <c r="G26" s="30"/>
      <c r="H26" s="30"/>
      <c r="I26" s="28"/>
      <c r="J26" s="74"/>
      <c r="K26" s="74"/>
      <c r="L26" s="28"/>
      <c r="M26" s="29"/>
    </row>
    <row r="27" spans="1:15" x14ac:dyDescent="0.2">
      <c r="A27" s="1"/>
      <c r="B27" s="31"/>
      <c r="C27" s="20"/>
      <c r="D27" s="20"/>
      <c r="E27" s="20"/>
      <c r="F27" s="20"/>
      <c r="G27" s="20"/>
      <c r="H27" s="106"/>
      <c r="I27" s="106"/>
      <c r="J27" s="106"/>
      <c r="K27" s="106"/>
      <c r="L27" s="28"/>
      <c r="M27" s="29"/>
    </row>
    <row r="28" spans="1:15" ht="18.600000000000001" customHeight="1" thickBot="1" x14ac:dyDescent="0.25">
      <c r="A28" s="1"/>
      <c r="B28" s="4"/>
      <c r="C28" s="5"/>
      <c r="D28" s="5"/>
      <c r="E28" s="5"/>
      <c r="F28" s="5"/>
      <c r="G28" s="5"/>
      <c r="H28" s="65"/>
      <c r="I28" s="32" t="s">
        <v>18</v>
      </c>
      <c r="J28" s="75"/>
      <c r="K28" s="82"/>
      <c r="L28" s="55"/>
      <c r="M28" s="22"/>
    </row>
    <row r="29" spans="1:15" ht="24.75" customHeight="1" thickBot="1" x14ac:dyDescent="0.3">
      <c r="A29" s="1"/>
      <c r="B29" s="118" t="s">
        <v>2</v>
      </c>
      <c r="C29" s="119"/>
      <c r="D29" s="119"/>
      <c r="E29" s="119"/>
      <c r="F29" s="119"/>
      <c r="G29" s="119"/>
      <c r="H29" s="84"/>
      <c r="I29" s="66" t="s">
        <v>19</v>
      </c>
      <c r="J29" s="88" t="s">
        <v>20</v>
      </c>
      <c r="K29" s="83"/>
      <c r="L29" s="63" t="s">
        <v>3</v>
      </c>
      <c r="M29" s="64" t="s">
        <v>4</v>
      </c>
    </row>
    <row r="30" spans="1:15" ht="20.100000000000001" customHeight="1" x14ac:dyDescent="0.2">
      <c r="A30" s="1"/>
      <c r="B30" s="60" t="s">
        <v>10</v>
      </c>
      <c r="C30" s="107" t="s">
        <v>23</v>
      </c>
      <c r="D30" s="107"/>
      <c r="E30" s="107"/>
      <c r="F30" s="107"/>
      <c r="G30" s="107"/>
      <c r="H30" s="85"/>
      <c r="I30" s="67">
        <v>10.5</v>
      </c>
      <c r="J30" s="89">
        <v>11.5</v>
      </c>
      <c r="K30" s="76"/>
      <c r="L30" s="61">
        <v>1</v>
      </c>
      <c r="M30" s="62" t="s">
        <v>21</v>
      </c>
    </row>
    <row r="31" spans="1:15" ht="20.100000000000001" customHeight="1" x14ac:dyDescent="0.2">
      <c r="A31" s="1"/>
      <c r="B31" s="33" t="s">
        <v>11</v>
      </c>
      <c r="C31" s="97" t="s">
        <v>24</v>
      </c>
      <c r="D31" s="97"/>
      <c r="E31" s="97"/>
      <c r="F31" s="97"/>
      <c r="G31" s="97"/>
      <c r="H31" s="86"/>
      <c r="I31" s="68">
        <v>8.5</v>
      </c>
      <c r="J31" s="90">
        <v>9</v>
      </c>
      <c r="K31" s="77"/>
      <c r="L31" s="56">
        <v>0.5</v>
      </c>
      <c r="M31" s="57" t="s">
        <v>21</v>
      </c>
    </row>
    <row r="32" spans="1:15" ht="20.100000000000001" customHeight="1" x14ac:dyDescent="0.2">
      <c r="A32" s="1"/>
      <c r="B32" s="33" t="s">
        <v>12</v>
      </c>
      <c r="C32" s="97" t="s">
        <v>25</v>
      </c>
      <c r="D32" s="97"/>
      <c r="E32" s="97"/>
      <c r="F32" s="97"/>
      <c r="G32" s="97"/>
      <c r="H32" s="86"/>
      <c r="I32" s="68">
        <v>8</v>
      </c>
      <c r="J32" s="90">
        <v>9</v>
      </c>
      <c r="K32" s="77"/>
      <c r="L32" s="56">
        <v>1</v>
      </c>
      <c r="M32" s="57" t="s">
        <v>22</v>
      </c>
      <c r="O32" s="80"/>
    </row>
    <row r="33" spans="1:13" ht="20.100000000000001" customHeight="1" x14ac:dyDescent="0.2">
      <c r="A33" s="1"/>
      <c r="B33" s="33" t="s">
        <v>13</v>
      </c>
      <c r="C33" s="97" t="s">
        <v>26</v>
      </c>
      <c r="D33" s="97"/>
      <c r="E33" s="97"/>
      <c r="F33" s="97"/>
      <c r="G33" s="97"/>
      <c r="H33" s="86"/>
      <c r="I33" s="68">
        <v>7.5</v>
      </c>
      <c r="J33" s="90">
        <v>8.5</v>
      </c>
      <c r="K33" s="77"/>
      <c r="L33" s="56">
        <v>1</v>
      </c>
      <c r="M33" s="57" t="s">
        <v>22</v>
      </c>
    </row>
    <row r="34" spans="1:13" ht="20.100000000000001" customHeight="1" x14ac:dyDescent="0.2">
      <c r="A34" s="1"/>
      <c r="B34" s="33" t="s">
        <v>14</v>
      </c>
      <c r="C34" s="34" t="s">
        <v>27</v>
      </c>
      <c r="D34" s="34"/>
      <c r="E34" s="34"/>
      <c r="F34" s="34"/>
      <c r="G34" s="34"/>
      <c r="H34" s="86"/>
      <c r="I34" s="68">
        <v>2.75</v>
      </c>
      <c r="J34" s="90">
        <v>2.75</v>
      </c>
      <c r="K34" s="77"/>
      <c r="L34" s="56"/>
      <c r="M34" s="57" t="s">
        <v>22</v>
      </c>
    </row>
    <row r="35" spans="1:13" ht="20.100000000000001" customHeight="1" x14ac:dyDescent="0.3">
      <c r="A35" s="1"/>
      <c r="B35" s="35" t="s">
        <v>15</v>
      </c>
      <c r="C35" s="97" t="s">
        <v>28</v>
      </c>
      <c r="D35" s="97"/>
      <c r="E35" s="97"/>
      <c r="F35" s="97"/>
      <c r="G35" s="97"/>
      <c r="H35" s="86"/>
      <c r="I35" s="68">
        <v>3.5</v>
      </c>
      <c r="J35" s="90">
        <v>3.5</v>
      </c>
      <c r="K35" s="77"/>
      <c r="L35" s="56"/>
      <c r="M35" s="57" t="s">
        <v>22</v>
      </c>
    </row>
    <row r="36" spans="1:13" ht="20.100000000000001" customHeight="1" x14ac:dyDescent="0.3">
      <c r="A36" s="1"/>
      <c r="B36" s="36" t="s">
        <v>16</v>
      </c>
      <c r="C36" s="37" t="s">
        <v>29</v>
      </c>
      <c r="D36" s="37"/>
      <c r="E36" s="37"/>
      <c r="F36" s="37"/>
      <c r="G36" s="37"/>
      <c r="H36" s="86"/>
      <c r="I36" s="68">
        <v>4</v>
      </c>
      <c r="J36" s="90">
        <v>4</v>
      </c>
      <c r="K36" s="77"/>
      <c r="L36" s="56"/>
      <c r="M36" s="57" t="s">
        <v>22</v>
      </c>
    </row>
    <row r="37" spans="1:13" ht="20.100000000000001" customHeight="1" x14ac:dyDescent="0.3">
      <c r="A37" s="1"/>
      <c r="B37" s="36" t="s">
        <v>17</v>
      </c>
      <c r="C37" s="37" t="s">
        <v>30</v>
      </c>
      <c r="D37" s="37"/>
      <c r="E37" s="37"/>
      <c r="F37" s="37"/>
      <c r="G37" s="37"/>
      <c r="H37" s="86"/>
      <c r="I37" s="68">
        <v>2</v>
      </c>
      <c r="J37" s="90">
        <v>2</v>
      </c>
      <c r="K37" s="77"/>
      <c r="L37" s="56"/>
      <c r="M37" s="57" t="s">
        <v>22</v>
      </c>
    </row>
    <row r="38" spans="1:13" ht="20.100000000000001" customHeight="1" x14ac:dyDescent="0.3">
      <c r="A38" s="1"/>
      <c r="B38" s="36"/>
      <c r="C38" s="37"/>
      <c r="D38" s="37"/>
      <c r="E38" s="37"/>
      <c r="F38" s="37"/>
      <c r="G38" s="37"/>
      <c r="H38" s="86"/>
      <c r="I38" s="68"/>
      <c r="J38" s="90"/>
      <c r="K38" s="77"/>
      <c r="L38" s="56"/>
      <c r="M38" s="57"/>
    </row>
    <row r="39" spans="1:13" ht="20.100000000000001" customHeight="1" x14ac:dyDescent="0.3">
      <c r="A39" s="1"/>
      <c r="B39" s="36"/>
      <c r="C39" s="37"/>
      <c r="D39" s="37"/>
      <c r="E39" s="37"/>
      <c r="F39" s="37"/>
      <c r="G39" s="37"/>
      <c r="H39" s="86"/>
      <c r="I39" s="68"/>
      <c r="J39" s="90"/>
      <c r="K39" s="77"/>
      <c r="L39" s="56"/>
      <c r="M39" s="57"/>
    </row>
    <row r="40" spans="1:13" ht="20.100000000000001" customHeight="1" x14ac:dyDescent="0.2">
      <c r="A40" s="1"/>
      <c r="B40" s="33"/>
      <c r="C40" s="97"/>
      <c r="D40" s="97"/>
      <c r="E40" s="97"/>
      <c r="F40" s="97"/>
      <c r="G40" s="97"/>
      <c r="H40" s="86"/>
      <c r="I40" s="68"/>
      <c r="J40" s="90"/>
      <c r="K40" s="77"/>
      <c r="L40" s="56"/>
      <c r="M40" s="57"/>
    </row>
    <row r="41" spans="1:13" ht="20.100000000000001" customHeight="1" thickBot="1" x14ac:dyDescent="0.25">
      <c r="A41" s="1"/>
      <c r="B41" s="54"/>
      <c r="C41" s="99"/>
      <c r="D41" s="99"/>
      <c r="E41" s="99"/>
      <c r="F41" s="99"/>
      <c r="G41" s="99"/>
      <c r="H41" s="87"/>
      <c r="I41" s="69"/>
      <c r="J41" s="91"/>
      <c r="K41" s="78"/>
      <c r="L41" s="58"/>
      <c r="M41" s="59"/>
    </row>
    <row r="42" spans="1:13" x14ac:dyDescent="0.2">
      <c r="A42" s="1"/>
      <c r="B42" s="38"/>
      <c r="C42" s="39"/>
      <c r="D42" s="40"/>
      <c r="E42" s="40"/>
      <c r="F42" s="40"/>
      <c r="G42" s="40"/>
      <c r="H42" s="98"/>
      <c r="I42" s="98"/>
      <c r="J42" s="79"/>
      <c r="K42" s="79"/>
      <c r="L42" s="41"/>
      <c r="M42" s="42"/>
    </row>
    <row r="43" spans="1:13" x14ac:dyDescent="0.2">
      <c r="A43" s="1"/>
      <c r="B43" s="38"/>
      <c r="C43" s="39"/>
      <c r="D43" s="40"/>
      <c r="E43" s="40"/>
      <c r="F43" s="40"/>
      <c r="G43" s="40"/>
      <c r="H43" s="41"/>
      <c r="I43" s="41"/>
      <c r="J43" s="79"/>
      <c r="K43" s="79"/>
      <c r="L43" s="41"/>
      <c r="M43" s="42"/>
    </row>
    <row r="44" spans="1:13" x14ac:dyDescent="0.2">
      <c r="A44" s="1"/>
      <c r="B44" s="38"/>
      <c r="C44" s="39"/>
      <c r="D44" s="40"/>
      <c r="E44" s="40"/>
      <c r="F44" s="40"/>
      <c r="G44" s="40"/>
      <c r="H44" s="41"/>
      <c r="I44" s="41"/>
      <c r="J44" s="79"/>
      <c r="K44" s="79"/>
      <c r="L44" s="41"/>
      <c r="M44" s="42"/>
    </row>
    <row r="45" spans="1:13" ht="18" x14ac:dyDescent="0.2">
      <c r="A45" s="1"/>
      <c r="B45" s="23"/>
      <c r="C45" s="40"/>
      <c r="D45" s="40"/>
      <c r="E45" s="40"/>
      <c r="F45" s="40"/>
      <c r="G45" s="43"/>
      <c r="H45" s="21"/>
      <c r="I45" s="21"/>
      <c r="J45" s="52"/>
      <c r="K45" s="52"/>
      <c r="L45" s="21"/>
      <c r="M45" s="22"/>
    </row>
    <row r="46" spans="1:13" x14ac:dyDescent="0.2">
      <c r="A46" s="1"/>
      <c r="B46" s="44"/>
      <c r="C46" s="21"/>
      <c r="D46" s="21"/>
      <c r="E46" s="21"/>
      <c r="F46" s="21"/>
      <c r="G46" s="21"/>
      <c r="H46" s="21"/>
      <c r="I46" s="21"/>
      <c r="J46" s="52"/>
      <c r="K46" s="52"/>
      <c r="L46" s="21"/>
      <c r="M46" s="45"/>
    </row>
    <row r="47" spans="1:13" x14ac:dyDescent="0.2">
      <c r="A47" s="1"/>
      <c r="B47" s="19"/>
      <c r="C47" s="20"/>
      <c r="D47" s="20"/>
      <c r="E47" s="20"/>
      <c r="F47" s="20"/>
      <c r="G47" s="20"/>
      <c r="H47" s="20"/>
      <c r="I47" s="20"/>
      <c r="J47" s="51"/>
      <c r="K47" s="51"/>
      <c r="L47" s="20"/>
      <c r="M47" s="46"/>
    </row>
    <row r="48" spans="1:13" x14ac:dyDescent="0.2">
      <c r="A48" s="1"/>
      <c r="B48" s="19"/>
      <c r="C48" s="20"/>
      <c r="D48" s="20"/>
      <c r="E48" s="20"/>
      <c r="F48" s="20"/>
      <c r="G48" s="20"/>
      <c r="H48" s="20"/>
      <c r="I48" s="20"/>
      <c r="J48" s="51"/>
      <c r="K48" s="51"/>
      <c r="L48" s="20"/>
      <c r="M48" s="46"/>
    </row>
    <row r="49" spans="1:13" x14ac:dyDescent="0.2">
      <c r="A49" s="1"/>
      <c r="B49" s="19"/>
      <c r="C49" s="20"/>
      <c r="D49" s="20"/>
      <c r="E49" s="20"/>
      <c r="F49" s="20"/>
      <c r="G49" s="20"/>
      <c r="H49" s="20"/>
      <c r="I49" s="20"/>
      <c r="J49" s="51"/>
      <c r="K49" s="51"/>
      <c r="L49" s="20"/>
      <c r="M49" s="46"/>
    </row>
    <row r="50" spans="1:13" x14ac:dyDescent="0.2">
      <c r="A50" s="1"/>
      <c r="B50" s="19"/>
      <c r="C50" s="20"/>
      <c r="D50" s="20"/>
      <c r="E50" s="20"/>
      <c r="F50" s="20"/>
      <c r="G50" s="20"/>
      <c r="H50" s="20"/>
      <c r="I50" s="20"/>
      <c r="J50" s="51"/>
      <c r="K50" s="51"/>
      <c r="L50" s="20"/>
      <c r="M50" s="46"/>
    </row>
    <row r="51" spans="1:13" ht="13.5" thickBot="1" x14ac:dyDescent="0.25">
      <c r="A51" s="1"/>
      <c r="B51" s="47"/>
      <c r="C51" s="48"/>
      <c r="D51" s="48"/>
      <c r="E51" s="48"/>
      <c r="F51" s="48"/>
      <c r="G51" s="5"/>
      <c r="H51" s="5"/>
      <c r="I51" s="48"/>
      <c r="J51" s="48"/>
      <c r="K51" s="48"/>
      <c r="L51" s="5"/>
      <c r="M51" s="49"/>
    </row>
    <row r="52" spans="1:13" x14ac:dyDescent="0.2">
      <c r="A52" s="1"/>
      <c r="B52" s="92" t="s">
        <v>5</v>
      </c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4"/>
    </row>
    <row r="53" spans="1:13" x14ac:dyDescent="0.2">
      <c r="A53" s="1"/>
      <c r="B53" s="23"/>
      <c r="C53" s="21"/>
      <c r="D53" s="21"/>
      <c r="E53" s="21"/>
      <c r="F53" s="21"/>
      <c r="G53" s="21"/>
      <c r="H53" s="21"/>
      <c r="I53" s="21"/>
      <c r="J53" s="52"/>
      <c r="K53" s="52"/>
      <c r="L53" s="21"/>
      <c r="M53" s="22"/>
    </row>
    <row r="54" spans="1:13" x14ac:dyDescent="0.2">
      <c r="A54" s="1"/>
      <c r="B54" s="50" t="s">
        <v>6</v>
      </c>
      <c r="C54" s="21"/>
      <c r="D54" s="21"/>
      <c r="E54" s="21"/>
      <c r="F54" s="21"/>
      <c r="G54" s="95" t="s">
        <v>7</v>
      </c>
      <c r="H54" s="95"/>
      <c r="I54" s="95"/>
      <c r="J54" s="95"/>
      <c r="K54" s="51" t="s">
        <v>8</v>
      </c>
      <c r="L54" s="52"/>
      <c r="M54" s="45"/>
    </row>
    <row r="55" spans="1:13" ht="13.5" thickBot="1" x14ac:dyDescent="0.25">
      <c r="A55" s="1"/>
      <c r="B55" s="47"/>
      <c r="C55" s="5"/>
      <c r="D55" s="5"/>
      <c r="E55" s="5"/>
      <c r="F55" s="5"/>
      <c r="G55" s="96"/>
      <c r="H55" s="96"/>
      <c r="I55" s="96"/>
      <c r="J55" s="96"/>
      <c r="K55" s="53" t="s">
        <v>9</v>
      </c>
      <c r="L55" s="53"/>
      <c r="M55" s="49"/>
    </row>
  </sheetData>
  <mergeCells count="18">
    <mergeCell ref="B2:M3"/>
    <mergeCell ref="H27:I27"/>
    <mergeCell ref="C30:G30"/>
    <mergeCell ref="H4:M4"/>
    <mergeCell ref="H7:M8"/>
    <mergeCell ref="F14:G16"/>
    <mergeCell ref="B29:G29"/>
    <mergeCell ref="J27:K27"/>
    <mergeCell ref="B52:M52"/>
    <mergeCell ref="G54:J54"/>
    <mergeCell ref="G55:J55"/>
    <mergeCell ref="C31:G31"/>
    <mergeCell ref="C32:G32"/>
    <mergeCell ref="C33:G33"/>
    <mergeCell ref="C35:G35"/>
    <mergeCell ref="C40:G40"/>
    <mergeCell ref="H42:I42"/>
    <mergeCell ref="C41:G41"/>
  </mergeCells>
  <printOptions horizontalCentered="1"/>
  <pageMargins left="0" right="0" top="0.39370078740157483" bottom="0" header="0" footer="0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BC7B-3815-4A67-9846-D2F5029C4A7D}">
  <dimension ref="A1:U34"/>
  <sheetViews>
    <sheetView tabSelected="1" workbookViewId="0">
      <selection activeCell="A17" sqref="A17"/>
    </sheetView>
    <sheetView workbookViewId="1"/>
  </sheetViews>
  <sheetFormatPr baseColWidth="10" defaultRowHeight="12.75" x14ac:dyDescent="0.2"/>
  <cols>
    <col min="4" max="4" width="10.5703125" customWidth="1"/>
    <col min="5" max="5" width="9.5703125" customWidth="1"/>
    <col min="6" max="6" width="10.5703125" customWidth="1"/>
    <col min="9" max="9" width="11.140625" bestFit="1" customWidth="1"/>
    <col min="10" max="10" width="8.140625" bestFit="1" customWidth="1"/>
  </cols>
  <sheetData>
    <row r="1" spans="1:21" ht="15" customHeight="1" x14ac:dyDescent="0.2">
      <c r="A1" s="121"/>
      <c r="B1" s="121"/>
      <c r="C1" s="122" t="s">
        <v>32</v>
      </c>
      <c r="D1" s="122"/>
      <c r="E1" s="122" t="s">
        <v>33</v>
      </c>
      <c r="F1" s="122"/>
      <c r="G1" s="122" t="s">
        <v>35</v>
      </c>
      <c r="H1" s="122"/>
      <c r="I1" s="122"/>
      <c r="J1" s="121"/>
      <c r="K1" s="121"/>
      <c r="O1" s="122" t="s">
        <v>32</v>
      </c>
      <c r="P1" s="122"/>
      <c r="Q1" s="122" t="s">
        <v>33</v>
      </c>
      <c r="R1" s="122"/>
      <c r="S1" s="122" t="s">
        <v>35</v>
      </c>
      <c r="T1" s="122"/>
      <c r="U1" s="122"/>
    </row>
    <row r="2" spans="1:21" ht="15" customHeight="1" x14ac:dyDescent="0.2">
      <c r="A2" s="121"/>
      <c r="B2" s="121"/>
      <c r="C2" s="123" t="s">
        <v>31</v>
      </c>
      <c r="D2" s="123"/>
      <c r="E2" s="123">
        <v>43577</v>
      </c>
      <c r="F2" s="123"/>
      <c r="G2" s="123" t="s">
        <v>34</v>
      </c>
      <c r="H2" s="123"/>
      <c r="I2" s="123"/>
      <c r="J2" s="121"/>
      <c r="K2" s="121"/>
      <c r="O2" s="123" t="s">
        <v>31</v>
      </c>
      <c r="P2" s="123"/>
      <c r="Q2" s="123">
        <v>43577</v>
      </c>
      <c r="R2" s="123"/>
      <c r="S2" s="123" t="s">
        <v>34</v>
      </c>
      <c r="T2" s="123"/>
      <c r="U2" s="123"/>
    </row>
    <row r="3" spans="1:21" ht="15" customHeight="1" x14ac:dyDescent="0.2">
      <c r="A3" s="121"/>
      <c r="B3" s="121"/>
      <c r="C3" s="123"/>
      <c r="D3" s="123"/>
      <c r="E3" s="123"/>
      <c r="F3" s="123"/>
      <c r="G3" s="123"/>
      <c r="H3" s="123"/>
      <c r="I3" s="123"/>
      <c r="J3" s="121"/>
      <c r="K3" s="121"/>
      <c r="O3" s="123"/>
      <c r="P3" s="123"/>
      <c r="Q3" s="123"/>
      <c r="R3" s="123"/>
      <c r="S3" s="123"/>
      <c r="T3" s="123"/>
      <c r="U3" s="123"/>
    </row>
    <row r="4" spans="1:21" ht="15" x14ac:dyDescent="0.2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</row>
    <row r="5" spans="1:21" ht="15" x14ac:dyDescent="0.2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M5" s="140" t="s">
        <v>36</v>
      </c>
      <c r="N5" s="140"/>
      <c r="O5" s="140" t="s">
        <v>39</v>
      </c>
      <c r="P5" s="140"/>
      <c r="R5" s="140" t="s">
        <v>36</v>
      </c>
      <c r="S5" s="140"/>
      <c r="T5" s="140" t="s">
        <v>39</v>
      </c>
      <c r="U5" s="140"/>
    </row>
    <row r="6" spans="1:21" ht="15" x14ac:dyDescent="0.2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M6" s="140"/>
      <c r="N6" s="140"/>
      <c r="O6" s="140"/>
      <c r="P6" s="140"/>
      <c r="R6" s="140"/>
      <c r="S6" s="140"/>
      <c r="T6" s="140"/>
      <c r="U6" s="140"/>
    </row>
    <row r="7" spans="1:21" ht="15" x14ac:dyDescent="0.2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M7" s="141" t="s">
        <v>38</v>
      </c>
      <c r="N7" s="141"/>
      <c r="O7" s="141" t="s">
        <v>40</v>
      </c>
      <c r="P7" s="141"/>
      <c r="R7" s="141" t="s">
        <v>38</v>
      </c>
      <c r="S7" s="141"/>
      <c r="T7" s="141" t="s">
        <v>40</v>
      </c>
      <c r="U7" s="141"/>
    </row>
    <row r="8" spans="1:21" ht="15" x14ac:dyDescent="0.2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M8" s="141"/>
      <c r="N8" s="141"/>
      <c r="O8" s="141"/>
      <c r="P8" s="141"/>
      <c r="R8" s="141"/>
      <c r="S8" s="141"/>
      <c r="T8" s="141"/>
      <c r="U8" s="141"/>
    </row>
    <row r="9" spans="1:21" ht="26.25" x14ac:dyDescent="0.2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M9" s="159" t="s">
        <v>51</v>
      </c>
      <c r="N9" s="159">
        <v>468</v>
      </c>
      <c r="O9" s="159" t="s">
        <v>51</v>
      </c>
      <c r="P9" s="159">
        <v>372</v>
      </c>
      <c r="R9" s="159" t="s">
        <v>51</v>
      </c>
      <c r="S9" s="159">
        <v>468</v>
      </c>
      <c r="T9" s="159" t="s">
        <v>51</v>
      </c>
      <c r="U9" s="159">
        <v>372</v>
      </c>
    </row>
    <row r="10" spans="1:21" ht="22.5" x14ac:dyDescent="0.2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M10" s="146" t="s">
        <v>41</v>
      </c>
      <c r="N10" s="145">
        <f>N9*3</f>
        <v>1404</v>
      </c>
      <c r="O10" s="146" t="s">
        <v>41</v>
      </c>
      <c r="P10" s="145">
        <f>P9*3</f>
        <v>1116</v>
      </c>
      <c r="R10" s="146" t="s">
        <v>41</v>
      </c>
      <c r="S10" s="145">
        <f>S9*3</f>
        <v>1404</v>
      </c>
      <c r="T10" s="146" t="s">
        <v>41</v>
      </c>
      <c r="U10" s="145">
        <f>U9*3</f>
        <v>1116</v>
      </c>
    </row>
    <row r="11" spans="1:21" ht="18" x14ac:dyDescent="0.2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M11" s="147" t="s">
        <v>37</v>
      </c>
      <c r="N11" s="144">
        <v>7.2400000000000006E-2</v>
      </c>
      <c r="O11" s="147" t="s">
        <v>37</v>
      </c>
      <c r="P11" s="144">
        <v>9.1399999999999995E-2</v>
      </c>
      <c r="R11" s="147" t="s">
        <v>37</v>
      </c>
      <c r="S11" s="144">
        <v>7.2400000000000006E-2</v>
      </c>
      <c r="T11" s="147" t="s">
        <v>37</v>
      </c>
      <c r="U11" s="144">
        <v>9.1399999999999995E-2</v>
      </c>
    </row>
    <row r="12" spans="1:21" ht="18" x14ac:dyDescent="0.2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M12" s="147" t="s">
        <v>42</v>
      </c>
      <c r="N12" s="148">
        <v>9.6527777777777782E-2</v>
      </c>
      <c r="O12" s="147" t="s">
        <v>42</v>
      </c>
      <c r="P12" s="148">
        <v>9.6527777777777782E-2</v>
      </c>
      <c r="R12" s="147" t="s">
        <v>42</v>
      </c>
      <c r="S12" s="148">
        <v>9.6527777777777782E-2</v>
      </c>
      <c r="T12" s="147" t="s">
        <v>42</v>
      </c>
      <c r="U12" s="148">
        <v>0.10069444444444445</v>
      </c>
    </row>
    <row r="13" spans="1:21" ht="15" x14ac:dyDescent="0.2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M13" s="120"/>
      <c r="N13" s="120"/>
      <c r="O13" s="120"/>
      <c r="P13" s="120"/>
    </row>
    <row r="14" spans="1:21" ht="24.75" x14ac:dyDescent="0.25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M14" s="149" t="s">
        <v>43</v>
      </c>
      <c r="N14" s="149"/>
      <c r="O14" s="149"/>
      <c r="P14" s="149"/>
      <c r="R14" s="153" t="s">
        <v>48</v>
      </c>
      <c r="S14" s="156">
        <v>25</v>
      </c>
      <c r="U14" s="156">
        <v>24</v>
      </c>
    </row>
    <row r="15" spans="1:21" ht="23.25" thickBot="1" x14ac:dyDescent="0.3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M15" s="143" t="s">
        <v>44</v>
      </c>
      <c r="N15" s="143" t="s">
        <v>45</v>
      </c>
      <c r="O15" s="142" t="s">
        <v>46</v>
      </c>
      <c r="P15" s="143" t="s">
        <v>47</v>
      </c>
      <c r="R15" s="157" t="s">
        <v>49</v>
      </c>
      <c r="S15" s="155">
        <f>S14*11</f>
        <v>275</v>
      </c>
      <c r="T15" s="154"/>
      <c r="U15" s="155">
        <f>U14*11</f>
        <v>264</v>
      </c>
    </row>
    <row r="16" spans="1:21" ht="23.25" thickBot="1" x14ac:dyDescent="0.3">
      <c r="A16" s="121"/>
      <c r="B16" s="121"/>
      <c r="C16" s="121"/>
      <c r="D16" s="121"/>
      <c r="E16" s="121"/>
      <c r="F16" s="121"/>
      <c r="G16" s="134" t="s">
        <v>19</v>
      </c>
      <c r="H16" s="135" t="s">
        <v>20</v>
      </c>
      <c r="I16" s="63" t="s">
        <v>3</v>
      </c>
      <c r="J16" s="64" t="s">
        <v>4</v>
      </c>
      <c r="K16" s="121"/>
      <c r="M16" s="150">
        <f>N11*53%*N10</f>
        <v>53.874288000000007</v>
      </c>
      <c r="N16" s="150">
        <f>N11*46%*N10</f>
        <v>46.75881600000001</v>
      </c>
      <c r="O16" s="150">
        <f>N11*1%*N10</f>
        <v>1.0164960000000001</v>
      </c>
      <c r="P16" s="150"/>
      <c r="R16" s="153" t="s">
        <v>52</v>
      </c>
      <c r="S16" s="155">
        <f>S15*6</f>
        <v>1650</v>
      </c>
      <c r="T16" s="155"/>
      <c r="U16" s="155">
        <f>U15*6</f>
        <v>1584</v>
      </c>
    </row>
    <row r="17" spans="1:21" ht="22.5" x14ac:dyDescent="0.2">
      <c r="A17" s="124" t="s">
        <v>10</v>
      </c>
      <c r="B17" s="129" t="s">
        <v>23</v>
      </c>
      <c r="C17" s="129"/>
      <c r="D17" s="129"/>
      <c r="E17" s="129"/>
      <c r="F17" s="129"/>
      <c r="G17" s="136">
        <v>10.5</v>
      </c>
      <c r="H17" s="137">
        <v>11.5</v>
      </c>
      <c r="I17" s="61">
        <v>1</v>
      </c>
      <c r="J17" s="62" t="s">
        <v>21</v>
      </c>
      <c r="K17" s="121"/>
      <c r="M17" s="151">
        <f>P11*53%*P10</f>
        <v>54.061271999999995</v>
      </c>
      <c r="N17" s="151">
        <f>P11*46%*P10</f>
        <v>46.921104</v>
      </c>
      <c r="O17" s="151">
        <f>P11*1%*P10</f>
        <v>1.020024</v>
      </c>
      <c r="P17" s="151"/>
      <c r="R17" s="158"/>
    </row>
    <row r="18" spans="1:21" ht="24.75" x14ac:dyDescent="0.3">
      <c r="A18" s="125" t="s">
        <v>11</v>
      </c>
      <c r="B18" s="128" t="s">
        <v>24</v>
      </c>
      <c r="C18" s="128"/>
      <c r="D18" s="128"/>
      <c r="E18" s="128"/>
      <c r="F18" s="128"/>
      <c r="G18" s="138">
        <v>8.5</v>
      </c>
      <c r="H18" s="139">
        <v>9</v>
      </c>
      <c r="I18" s="56">
        <v>0.5</v>
      </c>
      <c r="J18" s="57" t="s">
        <v>21</v>
      </c>
      <c r="K18" s="121"/>
      <c r="M18" s="152">
        <f>SUM(M16:M17)</f>
        <v>107.93556000000001</v>
      </c>
      <c r="N18" s="152">
        <f t="shared" ref="N18:P18" si="0">SUM(N16:N17)</f>
        <v>93.67992000000001</v>
      </c>
      <c r="O18" s="152">
        <f t="shared" si="0"/>
        <v>2.0365200000000003</v>
      </c>
      <c r="P18" s="152">
        <f t="shared" si="0"/>
        <v>0</v>
      </c>
      <c r="R18" s="153" t="s">
        <v>50</v>
      </c>
      <c r="S18" s="155">
        <f>S14*24</f>
        <v>600</v>
      </c>
      <c r="T18" s="154"/>
      <c r="U18" s="155">
        <f>U14*24</f>
        <v>576</v>
      </c>
    </row>
    <row r="19" spans="1:21" ht="22.5" x14ac:dyDescent="0.25">
      <c r="A19" s="125" t="s">
        <v>12</v>
      </c>
      <c r="B19" s="128" t="s">
        <v>25</v>
      </c>
      <c r="C19" s="128"/>
      <c r="D19" s="128"/>
      <c r="E19" s="128"/>
      <c r="F19" s="128"/>
      <c r="G19" s="138">
        <v>8</v>
      </c>
      <c r="H19" s="139">
        <v>9</v>
      </c>
      <c r="I19" s="56">
        <v>1</v>
      </c>
      <c r="J19" s="57" t="s">
        <v>22</v>
      </c>
      <c r="K19" s="121"/>
      <c r="R19" s="153" t="s">
        <v>53</v>
      </c>
      <c r="S19" s="155">
        <f>S18*5.5</f>
        <v>3300</v>
      </c>
      <c r="T19" s="155"/>
      <c r="U19" s="155">
        <f>U18*5.5</f>
        <v>3168</v>
      </c>
    </row>
    <row r="20" spans="1:21" ht="22.5" x14ac:dyDescent="0.2">
      <c r="A20" s="125" t="s">
        <v>13</v>
      </c>
      <c r="B20" s="128" t="s">
        <v>26</v>
      </c>
      <c r="C20" s="128"/>
      <c r="D20" s="128"/>
      <c r="E20" s="128"/>
      <c r="F20" s="128"/>
      <c r="G20" s="138">
        <v>7.5</v>
      </c>
      <c r="H20" s="139">
        <v>8.5</v>
      </c>
      <c r="I20" s="56">
        <v>1</v>
      </c>
      <c r="J20" s="57" t="s">
        <v>22</v>
      </c>
      <c r="K20" s="121"/>
      <c r="R20" s="158"/>
    </row>
    <row r="21" spans="1:21" ht="22.5" x14ac:dyDescent="0.2">
      <c r="A21" s="125" t="s">
        <v>14</v>
      </c>
      <c r="B21" s="130" t="s">
        <v>27</v>
      </c>
      <c r="C21" s="131"/>
      <c r="D21" s="131"/>
      <c r="E21" s="131"/>
      <c r="F21" s="131"/>
      <c r="G21" s="138">
        <v>2.75</v>
      </c>
      <c r="H21" s="139">
        <v>2.75</v>
      </c>
      <c r="I21" s="56"/>
      <c r="J21" s="57" t="s">
        <v>22</v>
      </c>
      <c r="K21" s="121"/>
    </row>
    <row r="22" spans="1:21" ht="22.5" x14ac:dyDescent="0.45">
      <c r="A22" s="126" t="s">
        <v>15</v>
      </c>
      <c r="B22" s="131" t="s">
        <v>28</v>
      </c>
      <c r="C22" s="131"/>
      <c r="D22" s="131"/>
      <c r="E22" s="131"/>
      <c r="F22" s="131"/>
      <c r="G22" s="138">
        <v>3.5</v>
      </c>
      <c r="H22" s="139">
        <v>3.5</v>
      </c>
      <c r="I22" s="56"/>
      <c r="J22" s="57" t="s">
        <v>22</v>
      </c>
      <c r="K22" s="121"/>
    </row>
    <row r="23" spans="1:21" ht="22.5" x14ac:dyDescent="0.45">
      <c r="A23" s="127" t="s">
        <v>16</v>
      </c>
      <c r="B23" s="130" t="s">
        <v>29</v>
      </c>
      <c r="C23" s="131"/>
      <c r="D23" s="131"/>
      <c r="E23" s="131"/>
      <c r="F23" s="131"/>
      <c r="G23" s="138">
        <v>4</v>
      </c>
      <c r="H23" s="139">
        <v>4</v>
      </c>
      <c r="I23" s="56"/>
      <c r="J23" s="57" t="s">
        <v>22</v>
      </c>
      <c r="K23" s="121"/>
    </row>
    <row r="24" spans="1:21" ht="22.5" x14ac:dyDescent="0.45">
      <c r="A24" s="127" t="s">
        <v>17</v>
      </c>
      <c r="B24" s="132" t="s">
        <v>30</v>
      </c>
      <c r="C24" s="133"/>
      <c r="D24" s="133"/>
      <c r="E24" s="133"/>
      <c r="F24" s="133"/>
      <c r="G24" s="138">
        <v>2</v>
      </c>
      <c r="H24" s="139">
        <v>2</v>
      </c>
      <c r="I24" s="56"/>
      <c r="J24" s="57" t="s">
        <v>22</v>
      </c>
      <c r="K24" s="121"/>
    </row>
    <row r="25" spans="1:21" ht="15" x14ac:dyDescent="0.2">
      <c r="A25" s="121"/>
      <c r="B25" s="121"/>
      <c r="C25" s="121"/>
      <c r="D25" s="121"/>
      <c r="E25" s="121"/>
      <c r="F25" s="121"/>
      <c r="I25" s="121"/>
      <c r="J25" s="121"/>
      <c r="K25" s="121"/>
    </row>
    <row r="26" spans="1:21" ht="15" x14ac:dyDescent="0.2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</row>
    <row r="27" spans="1:21" ht="15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</row>
    <row r="28" spans="1:21" ht="15" x14ac:dyDescent="0.2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</row>
    <row r="29" spans="1:21" ht="15" x14ac:dyDescent="0.2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</row>
    <row r="30" spans="1:21" ht="15" x14ac:dyDescent="0.2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</row>
    <row r="31" spans="1:21" ht="15" x14ac:dyDescent="0.2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</row>
    <row r="32" spans="1:21" ht="15" x14ac:dyDescent="0.2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</row>
    <row r="33" spans="1:11" ht="15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ht="15" x14ac:dyDescent="0.2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</row>
  </sheetData>
  <mergeCells count="29">
    <mergeCell ref="O5:P6"/>
    <mergeCell ref="O7:P8"/>
    <mergeCell ref="M14:P14"/>
    <mergeCell ref="R5:S6"/>
    <mergeCell ref="T5:U6"/>
    <mergeCell ref="R7:S8"/>
    <mergeCell ref="T7:U8"/>
    <mergeCell ref="B23:F23"/>
    <mergeCell ref="B24:F24"/>
    <mergeCell ref="O1:P1"/>
    <mergeCell ref="Q1:R1"/>
    <mergeCell ref="S1:U1"/>
    <mergeCell ref="O2:P3"/>
    <mergeCell ref="Q2:R3"/>
    <mergeCell ref="S2:U3"/>
    <mergeCell ref="M5:N6"/>
    <mergeCell ref="M7:N8"/>
    <mergeCell ref="B17:F17"/>
    <mergeCell ref="B18:F18"/>
    <mergeCell ref="B19:F19"/>
    <mergeCell ref="B20:F20"/>
    <mergeCell ref="B22:F22"/>
    <mergeCell ref="B21:F21"/>
    <mergeCell ref="C2:D3"/>
    <mergeCell ref="C1:D1"/>
    <mergeCell ref="E2:F3"/>
    <mergeCell ref="E1:F1"/>
    <mergeCell ref="G2:I3"/>
    <mergeCell ref="G1:I1"/>
  </mergeCells>
  <pageMargins left="0.23622047244094491" right="0.23622047244094491" top="0.35433070866141736" bottom="0.35433070866141736" header="0.31496062992125984" footer="0.31496062992125984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43577 PANTALETA ( D014P)</vt:lpstr>
      <vt:lpstr>maes25</vt:lpstr>
      <vt:lpstr>'43577 PANTALETA ( D014P)'!Área_de_impresión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Admin</cp:lastModifiedBy>
  <cp:lastPrinted>2025-01-27T23:43:41Z</cp:lastPrinted>
  <dcterms:created xsi:type="dcterms:W3CDTF">2024-07-11T23:10:41Z</dcterms:created>
  <dcterms:modified xsi:type="dcterms:W3CDTF">2025-01-27T23:45:18Z</dcterms:modified>
</cp:coreProperties>
</file>