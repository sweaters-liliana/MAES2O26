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9 BLUSA MANGA LARGA FRENTE CRUZADO\"/>
    </mc:Choice>
  </mc:AlternateContent>
  <xr:revisionPtr revIDLastSave="0" documentId="13_ncr:1_{1D6C2096-A031-49D7-883E-F59982D0CCE3}" xr6:coauthVersionLast="47" xr6:coauthVersionMax="47" xr10:uidLastSave="{00000000-0000-0000-0000-000000000000}"/>
  <bookViews>
    <workbookView xWindow="690" yWindow="690" windowWidth="2400" windowHeight="585" xr2:uid="{00000000-000D-0000-FFFF-FFFF00000000}"/>
  </bookViews>
  <sheets>
    <sheet name="FICHA TECNICA" sheetId="1" r:id="rId1"/>
    <sheet name="PRODU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t/wbFwhm1Vu+FPyWyXHTwVJP62U1vCQJ4QFdxi8fb/8="/>
    </ext>
  </extLst>
</workbook>
</file>

<file path=xl/calcChain.xml><?xml version="1.0" encoding="utf-8"?>
<calcChain xmlns="http://schemas.openxmlformats.org/spreadsheetml/2006/main">
  <c r="M14" i="1" l="1"/>
  <c r="P14" i="1" s="1"/>
  <c r="S19" i="2"/>
  <c r="B19" i="2"/>
  <c r="T3" i="2"/>
  <c r="C3" i="2"/>
  <c r="J14" i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ID#AAABxfF4Ptg
Programacion    (2025-12-14 11:23:16)
Programacion: Formula</t>
        </r>
      </text>
    </comment>
    <comment ref="S1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ID#AAABxfF4Ptk
Programacion    (2025-12-14 11:23:16)
Programacion: Formula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bQZUK+4rito+V3fm0XlVeKLUQA=="/>
    </ext>
  </extLst>
</comments>
</file>

<file path=xl/sharedStrings.xml><?xml version="1.0" encoding="utf-8"?>
<sst xmlns="http://schemas.openxmlformats.org/spreadsheetml/2006/main" count="133" uniqueCount="64">
  <si>
    <t xml:space="preserve"> </t>
  </si>
  <si>
    <t>FOTO MUESTRA</t>
  </si>
  <si>
    <t>DESCRIPCIÓN</t>
  </si>
  <si>
    <t>BLUSA MANGA LARGA FRENTE CRUZADO</t>
  </si>
  <si>
    <t>TALLA:</t>
  </si>
  <si>
    <t>UNITALLA</t>
  </si>
  <si>
    <t>PIEZA:</t>
  </si>
  <si>
    <t>BLUSA</t>
  </si>
  <si>
    <t>MANGA L</t>
  </si>
  <si>
    <t>FRENTE</t>
  </si>
  <si>
    <t>CÓDIGOS:</t>
  </si>
  <si>
    <t>M029BL30</t>
  </si>
  <si>
    <t>M029ML30</t>
  </si>
  <si>
    <t>M029FR36</t>
  </si>
  <si>
    <t>M029FR37</t>
  </si>
  <si>
    <t>PESO+10%:</t>
  </si>
  <si>
    <t>grs</t>
  </si>
  <si>
    <t>TIEMPO:</t>
  </si>
  <si>
    <t>min</t>
  </si>
  <si>
    <t>ENHEBRADO</t>
  </si>
  <si>
    <t>TIPO DE MAQUINA</t>
  </si>
  <si>
    <t>CIXING</t>
  </si>
  <si>
    <t>TOP2V</t>
  </si>
  <si>
    <t>%</t>
  </si>
  <si>
    <t>MATERIAL</t>
  </si>
  <si>
    <r>
      <rPr>
        <b/>
        <sz val="11"/>
        <color theme="0"/>
        <rFont val="Consolas"/>
      </rPr>
      <t>G</t>
    </r>
    <r>
      <rPr>
        <b/>
        <sz val="10"/>
        <color theme="0"/>
        <rFont val="Consolas"/>
      </rPr>
      <t>.</t>
    </r>
    <r>
      <rPr>
        <b/>
        <sz val="14"/>
        <color theme="0"/>
        <rFont val="Consolas"/>
      </rPr>
      <t>HILO</t>
    </r>
  </si>
  <si>
    <t>SIS.</t>
  </si>
  <si>
    <r>
      <rPr>
        <b/>
        <sz val="11"/>
        <color theme="1"/>
        <rFont val="Consolas"/>
      </rPr>
      <t>G</t>
    </r>
    <r>
      <rPr>
        <b/>
        <sz val="10"/>
        <color theme="1"/>
        <rFont val="Consolas"/>
      </rPr>
      <t>.</t>
    </r>
    <r>
      <rPr>
        <b/>
        <sz val="14"/>
        <color theme="1"/>
        <rFont val="Consolas"/>
      </rPr>
      <t>HILO</t>
    </r>
  </si>
  <si>
    <r>
      <rPr>
        <b/>
        <sz val="11"/>
        <color theme="1"/>
        <rFont val="Consolas"/>
      </rPr>
      <t>G</t>
    </r>
    <r>
      <rPr>
        <b/>
        <sz val="10"/>
        <color theme="1"/>
        <rFont val="Consolas"/>
      </rPr>
      <t>.</t>
    </r>
    <r>
      <rPr>
        <b/>
        <sz val="14"/>
        <color theme="1"/>
        <rFont val="Consolas"/>
      </rPr>
      <t>HILO</t>
    </r>
  </si>
  <si>
    <r>
      <rPr>
        <b/>
        <sz val="11"/>
        <color theme="1"/>
        <rFont val="Consolas"/>
      </rPr>
      <t>G</t>
    </r>
    <r>
      <rPr>
        <b/>
        <sz val="10"/>
        <color theme="1"/>
        <rFont val="Consolas"/>
      </rPr>
      <t>.</t>
    </r>
    <r>
      <rPr>
        <b/>
        <sz val="14"/>
        <color theme="1"/>
        <rFont val="Consolas"/>
      </rPr>
      <t>HILO</t>
    </r>
  </si>
  <si>
    <t>CRUZADO</t>
  </si>
  <si>
    <t>NORMAL</t>
  </si>
  <si>
    <t>LICRA MIAMI</t>
  </si>
  <si>
    <t>#5</t>
  </si>
  <si>
    <t>TODOS</t>
  </si>
  <si>
    <t>#2</t>
  </si>
  <si>
    <t>20/40/24</t>
  </si>
  <si>
    <t>NYLON</t>
  </si>
  <si>
    <t>#6</t>
  </si>
  <si>
    <t>70/68</t>
  </si>
  <si>
    <t>maquina</t>
  </si>
  <si>
    <t>ajustes ó problemas mecanicos</t>
  </si>
  <si>
    <t>Dias x Tejer</t>
  </si>
  <si>
    <t>PEDIDO</t>
  </si>
  <si>
    <t>1/3</t>
  </si>
  <si>
    <t>Tejedor</t>
  </si>
  <si>
    <t>Fecha</t>
  </si>
  <si>
    <t>defectos</t>
  </si>
  <si>
    <t>agujas</t>
  </si>
  <si>
    <t>50 pzs</t>
  </si>
  <si>
    <t>/3</t>
  </si>
  <si>
    <t>CHICA</t>
  </si>
  <si>
    <t>CODIGO:</t>
  </si>
  <si>
    <r>
      <rPr>
        <sz val="12"/>
        <color theme="1"/>
        <rFont val="Consolas"/>
      </rPr>
      <t>M026</t>
    </r>
    <r>
      <rPr>
        <u/>
        <sz val="12"/>
        <color theme="1"/>
        <rFont val="Consolas"/>
      </rPr>
      <t>BL</t>
    </r>
    <r>
      <rPr>
        <sz val="12"/>
        <color theme="1"/>
        <rFont val="Consolas"/>
      </rPr>
      <t>01</t>
    </r>
  </si>
  <si>
    <r>
      <rPr>
        <sz val="12"/>
        <color theme="1"/>
        <rFont val="Consolas"/>
      </rPr>
      <t>M026</t>
    </r>
    <r>
      <rPr>
        <u/>
        <sz val="12"/>
        <color theme="1"/>
        <rFont val="Consolas"/>
      </rPr>
      <t>ML</t>
    </r>
    <r>
      <rPr>
        <sz val="12"/>
        <color theme="1"/>
        <rFont val="Consolas"/>
      </rPr>
      <t>01</t>
    </r>
  </si>
  <si>
    <t>PESO:</t>
  </si>
  <si>
    <r>
      <rPr>
        <sz val="11"/>
        <color theme="1"/>
        <rFont val="Anton"/>
      </rPr>
      <t>TURNO (</t>
    </r>
    <r>
      <rPr>
        <sz val="8"/>
        <color theme="1"/>
        <rFont val="Bernard MT Condensed"/>
      </rPr>
      <t>HRS</t>
    </r>
    <r>
      <rPr>
        <sz val="11"/>
        <color theme="1"/>
        <rFont val="Bernard MT Condensed"/>
      </rPr>
      <t>):</t>
    </r>
  </si>
  <si>
    <r>
      <rPr>
        <sz val="11"/>
        <color theme="1"/>
        <rFont val="Anton"/>
      </rPr>
      <t>TURNO (</t>
    </r>
    <r>
      <rPr>
        <sz val="8"/>
        <color theme="1"/>
        <rFont val="Bernard MT Condensed"/>
      </rPr>
      <t>HRS</t>
    </r>
    <r>
      <rPr>
        <sz val="11"/>
        <color theme="1"/>
        <rFont val="Bernard MT Condensed"/>
      </rPr>
      <t>):</t>
    </r>
  </si>
  <si>
    <t>PZAS X T:</t>
  </si>
  <si>
    <t>LIKRA  MIAMI 20/40/24</t>
  </si>
  <si>
    <t>NYLON 70/68</t>
  </si>
  <si>
    <t>Ghilos</t>
  </si>
  <si>
    <t>Sis.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</si>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</sst>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"/>
  </numFmts>
  <fonts count="42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20"/>
      <color rgb="FFFFFF00"/>
      <name val="Consolas"/>
    </font>
    <font>
      <sz val="11"/>
      <name val="Calibri"/>
    </font>
    <font>
      <b/>
      <sz val="24"/>
      <color rgb="FFFFFF00"/>
      <name val="Consolas"/>
    </font>
    <font>
      <b/>
      <sz val="16"/>
      <color rgb="FFFFFF00"/>
      <name val="Consolas"/>
    </font>
    <font>
      <b/>
      <sz val="20"/>
      <color rgb="FF000000"/>
      <name val="Consolas"/>
    </font>
    <font>
      <b/>
      <sz val="12"/>
      <color rgb="FFFFFF00"/>
      <name val="Consolas"/>
    </font>
    <font>
      <b/>
      <sz val="22"/>
      <color rgb="FF000000"/>
      <name val="Consolas"/>
    </font>
    <font>
      <b/>
      <sz val="22"/>
      <color theme="0"/>
      <name val="Consolas"/>
    </font>
    <font>
      <b/>
      <sz val="16"/>
      <color theme="1"/>
      <name val="Consolas"/>
    </font>
    <font>
      <b/>
      <sz val="12"/>
      <color theme="1"/>
      <name val="Consolas"/>
    </font>
    <font>
      <b/>
      <sz val="24"/>
      <color theme="0"/>
      <name val="Consolas"/>
    </font>
    <font>
      <b/>
      <sz val="20"/>
      <color theme="1"/>
      <name val="Consolas"/>
    </font>
    <font>
      <b/>
      <sz val="18"/>
      <color theme="0"/>
      <name val="Consolas"/>
    </font>
    <font>
      <b/>
      <sz val="14"/>
      <color theme="0"/>
      <name val="Consolas"/>
    </font>
    <font>
      <b/>
      <sz val="18"/>
      <color theme="1"/>
      <name val="Consolas"/>
    </font>
    <font>
      <b/>
      <sz val="14"/>
      <color theme="1"/>
      <name val="Consolas"/>
    </font>
    <font>
      <b/>
      <sz val="22"/>
      <color theme="1"/>
      <name val="Consolas"/>
    </font>
    <font>
      <b/>
      <u/>
      <sz val="20"/>
      <color theme="1"/>
      <name val="Consolas"/>
    </font>
    <font>
      <b/>
      <u/>
      <sz val="20"/>
      <color theme="1"/>
      <name val="Consolas"/>
    </font>
    <font>
      <sz val="11"/>
      <color theme="1"/>
      <name val="Arial"/>
    </font>
    <font>
      <sz val="14"/>
      <color theme="1"/>
      <name val="Arial"/>
    </font>
    <font>
      <sz val="21"/>
      <color theme="1"/>
      <name val="Anton"/>
    </font>
    <font>
      <sz val="36"/>
      <color theme="1"/>
      <name val="Arial Black"/>
    </font>
    <font>
      <sz val="14"/>
      <color theme="1"/>
      <name val="Anton"/>
    </font>
    <font>
      <b/>
      <i/>
      <u/>
      <sz val="14"/>
      <color theme="1"/>
      <name val="Arial"/>
    </font>
    <font>
      <sz val="22"/>
      <color theme="1"/>
      <name val="Arial Black"/>
    </font>
    <font>
      <sz val="12"/>
      <color theme="1"/>
      <name val="Arial"/>
    </font>
    <font>
      <sz val="12"/>
      <color theme="1"/>
      <name val="Anton"/>
    </font>
    <font>
      <sz val="12"/>
      <color theme="1"/>
      <name val="Consolas"/>
    </font>
    <font>
      <sz val="11"/>
      <color theme="1"/>
      <name val="Anton"/>
    </font>
    <font>
      <sz val="11"/>
      <color theme="1"/>
      <name val="Consolas"/>
    </font>
    <font>
      <sz val="14"/>
      <color theme="1"/>
      <name val="Consolas"/>
    </font>
    <font>
      <b/>
      <sz val="11"/>
      <color theme="0"/>
      <name val="Consolas"/>
    </font>
    <font>
      <b/>
      <sz val="10"/>
      <color theme="0"/>
      <name val="Consolas"/>
    </font>
    <font>
      <b/>
      <sz val="11"/>
      <color theme="1"/>
      <name val="Consolas"/>
    </font>
    <font>
      <b/>
      <sz val="10"/>
      <color theme="1"/>
      <name val="Consolas"/>
    </font>
    <font>
      <u/>
      <sz val="12"/>
      <color theme="1"/>
      <name val="Consolas"/>
    </font>
    <font>
      <sz val="8"/>
      <color theme="1"/>
      <name val="Bernard MT Condensed"/>
    </font>
    <font>
      <sz val="11"/>
      <color theme="1"/>
      <name val="Bernard MT Condensed"/>
    </font>
  </fonts>
  <fills count="10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644E00"/>
        <bgColor rgb="FF644E00"/>
      </patternFill>
    </fill>
    <fill>
      <patternFill patternType="solid">
        <fgColor rgb="FFFFF1C1"/>
        <bgColor rgb="FFFFF1C1"/>
      </patternFill>
    </fill>
    <fill>
      <patternFill patternType="solid">
        <fgColor rgb="FF7A2E02"/>
        <bgColor rgb="FF7A2E02"/>
      </patternFill>
    </fill>
    <fill>
      <patternFill patternType="solid">
        <fgColor rgb="FF967500"/>
        <bgColor rgb="FF967500"/>
      </patternFill>
    </fill>
    <fill>
      <patternFill patternType="solid">
        <fgColor rgb="FFFFFF00"/>
        <bgColor rgb="FFFFFF00"/>
      </patternFill>
    </fill>
    <fill>
      <patternFill patternType="solid">
        <fgColor rgb="FFBBE5FD"/>
        <bgColor rgb="FFBBE5FD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2" fillId="0" borderId="0" xfId="0" applyFont="1"/>
    <xf numFmtId="0" fontId="23" fillId="8" borderId="25" xfId="0" applyFont="1" applyFill="1" applyBorder="1" applyAlignment="1">
      <alignment horizontal="center" vertical="center"/>
    </xf>
    <xf numFmtId="0" fontId="26" fillId="0" borderId="0" xfId="0" applyFont="1"/>
    <xf numFmtId="0" fontId="22" fillId="0" borderId="34" xfId="0" applyFont="1" applyBorder="1"/>
    <xf numFmtId="0" fontId="22" fillId="0" borderId="35" xfId="0" applyFont="1" applyBorder="1"/>
    <xf numFmtId="165" fontId="22" fillId="0" borderId="0" xfId="0" applyNumberFormat="1" applyFont="1"/>
    <xf numFmtId="0" fontId="22" fillId="0" borderId="36" xfId="0" applyFont="1" applyBorder="1"/>
    <xf numFmtId="0" fontId="22" fillId="0" borderId="37" xfId="0" applyFont="1" applyBorder="1"/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9" fillId="0" borderId="37" xfId="0" applyFont="1" applyBorder="1" applyAlignment="1">
      <alignment horizontal="left" vertical="center"/>
    </xf>
    <xf numFmtId="0" fontId="22" fillId="0" borderId="38" xfId="0" applyFont="1" applyBorder="1"/>
    <xf numFmtId="0" fontId="23" fillId="0" borderId="39" xfId="0" applyFont="1" applyBorder="1"/>
    <xf numFmtId="0" fontId="22" fillId="0" borderId="39" xfId="0" applyFont="1" applyBorder="1"/>
    <xf numFmtId="0" fontId="30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22" fillId="0" borderId="0" xfId="0" applyFont="1" applyAlignment="1">
      <alignment horizontal="center"/>
    </xf>
    <xf numFmtId="1" fontId="33" fillId="0" borderId="0" xfId="0" applyNumberFormat="1" applyFont="1" applyAlignment="1">
      <alignment horizontal="center"/>
    </xf>
    <xf numFmtId="9" fontId="34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1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4" fillId="0" borderId="12" xfId="0" applyFont="1" applyBorder="1"/>
    <xf numFmtId="164" fontId="11" fillId="3" borderId="1" xfId="0" applyNumberFormat="1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45" fontId="11" fillId="5" borderId="1" xfId="0" applyNumberFormat="1" applyFont="1" applyFill="1" applyBorder="1" applyAlignment="1">
      <alignment horizontal="center" vertical="center" wrapText="1"/>
    </xf>
    <xf numFmtId="46" fontId="12" fillId="5" borderId="10" xfId="0" applyNumberFormat="1" applyFont="1" applyFill="1" applyBorder="1" applyAlignment="1">
      <alignment horizontal="center" vertical="center" wrapText="1"/>
    </xf>
    <xf numFmtId="45" fontId="11" fillId="3" borderId="1" xfId="0" applyNumberFormat="1" applyFont="1" applyFill="1" applyBorder="1" applyAlignment="1">
      <alignment horizontal="center" vertical="center" wrapText="1"/>
    </xf>
    <xf numFmtId="46" fontId="12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0" fillId="0" borderId="0" xfId="0" applyFont="1" applyAlignment="1"/>
    <xf numFmtId="0" fontId="4" fillId="0" borderId="8" xfId="0" applyFont="1" applyBorder="1"/>
    <xf numFmtId="0" fontId="7" fillId="0" borderId="1" xfId="0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17" fillId="3" borderId="15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14" fillId="3" borderId="14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6" xfId="0" applyFont="1" applyBorder="1"/>
    <xf numFmtId="0" fontId="18" fillId="3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19" fillId="5" borderId="1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11" fillId="3" borderId="19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49" fontId="18" fillId="5" borderId="14" xfId="0" applyNumberFormat="1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49" fontId="18" fillId="3" borderId="14" xfId="0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9" fontId="23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" fontId="23" fillId="0" borderId="0" xfId="0" applyNumberFormat="1" applyFont="1" applyAlignment="1">
      <alignment horizontal="center"/>
    </xf>
    <xf numFmtId="0" fontId="24" fillId="9" borderId="26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25" fillId="8" borderId="29" xfId="0" applyFont="1" applyFill="1" applyBorder="1" applyAlignment="1">
      <alignment horizontal="center" vertical="center"/>
    </xf>
    <xf numFmtId="0" fontId="4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1895475" cy="3067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28575</xdr:rowOff>
    </xdr:from>
    <xdr:ext cx="1447800" cy="19431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1</xdr:row>
      <xdr:rowOff>28575</xdr:rowOff>
    </xdr:from>
    <xdr:ext cx="1447800" cy="23336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10" workbookViewId="0">
      <selection activeCell="M10" sqref="M10:R11"/>
    </sheetView>
  </sheetViews>
  <sheetFormatPr baseColWidth="10" defaultColWidth="14.42578125" defaultRowHeight="15" customHeight="1"/>
  <cols>
    <col min="1" max="1" width="0.5703125" customWidth="1"/>
    <col min="2" max="2" width="6.7109375" customWidth="1"/>
    <col min="3" max="3" width="5.28515625" customWidth="1"/>
    <col min="4" max="4" width="17" customWidth="1"/>
    <col min="5" max="5" width="3.425781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  <col min="16" max="16" width="10.7109375" customWidth="1"/>
    <col min="17" max="17" width="8.7109375" customWidth="1"/>
    <col min="18" max="18" width="5.7109375" customWidth="1"/>
    <col min="19" max="20" width="14.42578125" customWidth="1"/>
  </cols>
  <sheetData>
    <row r="1" spans="1:26" ht="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1"/>
      <c r="B2" s="45" t="s">
        <v>1</v>
      </c>
      <c r="C2" s="25"/>
      <c r="D2" s="26"/>
      <c r="E2" s="46" t="s">
        <v>2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1"/>
      <c r="B3" s="27"/>
      <c r="C3" s="28"/>
      <c r="D3" s="29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47"/>
      <c r="C4" s="25"/>
      <c r="D4" s="26"/>
      <c r="E4" s="51" t="s">
        <v>3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48"/>
      <c r="C5" s="49"/>
      <c r="D5" s="50"/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50"/>
      <c r="S5" s="1"/>
      <c r="T5" s="1"/>
      <c r="U5" s="1"/>
      <c r="V5" s="1"/>
      <c r="W5" s="1"/>
      <c r="X5" s="1"/>
      <c r="Y5" s="1"/>
      <c r="Z5" s="1"/>
    </row>
    <row r="6" spans="1:26" ht="20.25" customHeight="1">
      <c r="A6" s="1"/>
      <c r="B6" s="48"/>
      <c r="C6" s="49"/>
      <c r="D6" s="50"/>
      <c r="E6" s="48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50"/>
      <c r="S6" s="1"/>
      <c r="T6" s="1"/>
      <c r="U6" s="1"/>
      <c r="V6" s="1"/>
      <c r="W6" s="1"/>
      <c r="X6" s="1"/>
      <c r="Y6" s="1"/>
      <c r="Z6" s="1"/>
    </row>
    <row r="7" spans="1:26" ht="4.5" customHeight="1">
      <c r="A7" s="1"/>
      <c r="B7" s="48"/>
      <c r="C7" s="49"/>
      <c r="D7" s="50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48"/>
      <c r="C8" s="49"/>
      <c r="D8" s="50"/>
      <c r="E8" s="31" t="s">
        <v>4</v>
      </c>
      <c r="F8" s="26"/>
      <c r="G8" s="30" t="s">
        <v>5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48"/>
      <c r="C9" s="49"/>
      <c r="D9" s="50"/>
      <c r="E9" s="27"/>
      <c r="F9" s="29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48"/>
      <c r="C10" s="49"/>
      <c r="D10" s="50"/>
      <c r="E10" s="31" t="s">
        <v>6</v>
      </c>
      <c r="F10" s="26"/>
      <c r="G10" s="24" t="s">
        <v>7</v>
      </c>
      <c r="H10" s="25"/>
      <c r="I10" s="26"/>
      <c r="J10" s="30" t="s">
        <v>8</v>
      </c>
      <c r="K10" s="25"/>
      <c r="L10" s="26"/>
      <c r="M10" s="30" t="s">
        <v>9</v>
      </c>
      <c r="N10" s="25"/>
      <c r="O10" s="25"/>
      <c r="P10" s="25"/>
      <c r="Q10" s="25"/>
      <c r="R10" s="26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48"/>
      <c r="C11" s="49"/>
      <c r="D11" s="50"/>
      <c r="E11" s="27"/>
      <c r="F11" s="29"/>
      <c r="G11" s="27"/>
      <c r="H11" s="28"/>
      <c r="I11" s="29"/>
      <c r="J11" s="27"/>
      <c r="K11" s="28"/>
      <c r="L11" s="29"/>
      <c r="M11" s="27"/>
      <c r="N11" s="28"/>
      <c r="O11" s="28"/>
      <c r="P11" s="28"/>
      <c r="Q11" s="28"/>
      <c r="R11" s="29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48"/>
      <c r="C12" s="49"/>
      <c r="D12" s="50"/>
      <c r="E12" s="32" t="s">
        <v>10</v>
      </c>
      <c r="F12" s="26"/>
      <c r="G12" s="33" t="s">
        <v>11</v>
      </c>
      <c r="H12" s="25"/>
      <c r="I12" s="26"/>
      <c r="J12" s="30" t="s">
        <v>12</v>
      </c>
      <c r="K12" s="25"/>
      <c r="L12" s="26"/>
      <c r="M12" s="30" t="s">
        <v>13</v>
      </c>
      <c r="N12" s="25"/>
      <c r="O12" s="26"/>
      <c r="P12" s="30" t="s">
        <v>14</v>
      </c>
      <c r="Q12" s="25"/>
      <c r="R12" s="26"/>
      <c r="S12" s="1"/>
      <c r="U12" s="1"/>
      <c r="V12" s="1"/>
      <c r="W12" s="1"/>
      <c r="X12" s="1"/>
      <c r="Y12" s="1"/>
      <c r="Z12" s="1"/>
    </row>
    <row r="13" spans="1:26" ht="19.5" customHeight="1">
      <c r="A13" s="1"/>
      <c r="B13" s="48"/>
      <c r="C13" s="49"/>
      <c r="D13" s="50"/>
      <c r="E13" s="27"/>
      <c r="F13" s="29"/>
      <c r="G13" s="27"/>
      <c r="H13" s="28"/>
      <c r="I13" s="29"/>
      <c r="J13" s="27"/>
      <c r="K13" s="28"/>
      <c r="L13" s="29"/>
      <c r="M13" s="27"/>
      <c r="N13" s="28"/>
      <c r="O13" s="29"/>
      <c r="P13" s="27"/>
      <c r="Q13" s="28"/>
      <c r="R13" s="29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48"/>
      <c r="C14" s="49"/>
      <c r="D14" s="50"/>
      <c r="E14" s="32" t="s">
        <v>15</v>
      </c>
      <c r="F14" s="26"/>
      <c r="G14" s="34">
        <f>167*110%</f>
        <v>183.70000000000002</v>
      </c>
      <c r="H14" s="35"/>
      <c r="I14" s="37" t="s">
        <v>16</v>
      </c>
      <c r="J14" s="39">
        <f>103*110%</f>
        <v>113.30000000000001</v>
      </c>
      <c r="K14" s="35"/>
      <c r="L14" s="40" t="s">
        <v>16</v>
      </c>
      <c r="M14" s="39">
        <f>76*110%</f>
        <v>83.600000000000009</v>
      </c>
      <c r="N14" s="35"/>
      <c r="O14" s="40" t="s">
        <v>16</v>
      </c>
      <c r="P14" s="39">
        <f>M14</f>
        <v>83.600000000000009</v>
      </c>
      <c r="Q14" s="35"/>
      <c r="R14" s="40" t="s">
        <v>16</v>
      </c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48"/>
      <c r="C15" s="49"/>
      <c r="D15" s="50"/>
      <c r="E15" s="27"/>
      <c r="F15" s="29"/>
      <c r="G15" s="27"/>
      <c r="H15" s="36"/>
      <c r="I15" s="38"/>
      <c r="J15" s="27"/>
      <c r="K15" s="36"/>
      <c r="L15" s="38"/>
      <c r="M15" s="27"/>
      <c r="N15" s="36"/>
      <c r="O15" s="38"/>
      <c r="P15" s="27"/>
      <c r="Q15" s="36"/>
      <c r="R15" s="38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48"/>
      <c r="C16" s="49"/>
      <c r="D16" s="50"/>
      <c r="E16" s="31" t="s">
        <v>17</v>
      </c>
      <c r="F16" s="26"/>
      <c r="G16" s="41">
        <v>5.5787037037037038E-3</v>
      </c>
      <c r="H16" s="35"/>
      <c r="I16" s="42" t="s">
        <v>18</v>
      </c>
      <c r="J16" s="43">
        <v>4.0393518518518521E-3</v>
      </c>
      <c r="K16" s="35"/>
      <c r="L16" s="44" t="s">
        <v>18</v>
      </c>
      <c r="M16" s="43">
        <v>2.638888888888889E-3</v>
      </c>
      <c r="N16" s="35"/>
      <c r="O16" s="44" t="s">
        <v>18</v>
      </c>
      <c r="P16" s="43">
        <v>1.8865740740740742E-3</v>
      </c>
      <c r="Q16" s="35"/>
      <c r="R16" s="44" t="s">
        <v>18</v>
      </c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27"/>
      <c r="C17" s="28"/>
      <c r="D17" s="29"/>
      <c r="E17" s="27"/>
      <c r="F17" s="29"/>
      <c r="G17" s="27"/>
      <c r="H17" s="36"/>
      <c r="I17" s="38"/>
      <c r="J17" s="27"/>
      <c r="K17" s="36"/>
      <c r="L17" s="38"/>
      <c r="M17" s="27"/>
      <c r="N17" s="36"/>
      <c r="O17" s="38"/>
      <c r="P17" s="27"/>
      <c r="Q17" s="36"/>
      <c r="R17" s="38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5" t="s">
        <v>19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6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1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1"/>
      <c r="B20" s="76" t="s">
        <v>20</v>
      </c>
      <c r="C20" s="25"/>
      <c r="D20" s="25"/>
      <c r="E20" s="25"/>
      <c r="F20" s="26"/>
      <c r="G20" s="77" t="s">
        <v>21</v>
      </c>
      <c r="H20" s="25"/>
      <c r="I20" s="26"/>
      <c r="J20" s="76" t="s">
        <v>21</v>
      </c>
      <c r="K20" s="25"/>
      <c r="L20" s="26"/>
      <c r="M20" s="76" t="s">
        <v>21</v>
      </c>
      <c r="N20" s="25"/>
      <c r="O20" s="26"/>
      <c r="P20" s="76" t="s">
        <v>22</v>
      </c>
      <c r="Q20" s="25"/>
      <c r="R20" s="26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27"/>
      <c r="C21" s="28"/>
      <c r="D21" s="28"/>
      <c r="E21" s="28"/>
      <c r="F21" s="29"/>
      <c r="G21" s="27"/>
      <c r="H21" s="28"/>
      <c r="I21" s="29"/>
      <c r="J21" s="27"/>
      <c r="K21" s="28"/>
      <c r="L21" s="29"/>
      <c r="M21" s="27"/>
      <c r="N21" s="28"/>
      <c r="O21" s="29"/>
      <c r="P21" s="27"/>
      <c r="Q21" s="28"/>
      <c r="R21" s="29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45" t="s">
        <v>23</v>
      </c>
      <c r="C22" s="58"/>
      <c r="D22" s="56" t="s">
        <v>24</v>
      </c>
      <c r="E22" s="25"/>
      <c r="F22" s="26"/>
      <c r="G22" s="78" t="s">
        <v>25</v>
      </c>
      <c r="H22" s="52" t="s">
        <v>26</v>
      </c>
      <c r="I22" s="26"/>
      <c r="J22" s="54" t="s">
        <v>27</v>
      </c>
      <c r="K22" s="73" t="s">
        <v>26</v>
      </c>
      <c r="L22" s="26"/>
      <c r="M22" s="54" t="s">
        <v>28</v>
      </c>
      <c r="N22" s="73" t="s">
        <v>26</v>
      </c>
      <c r="O22" s="26"/>
      <c r="P22" s="54" t="s">
        <v>29</v>
      </c>
      <c r="Q22" s="73" t="s">
        <v>26</v>
      </c>
      <c r="R22" s="26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1"/>
      <c r="B23" s="27"/>
      <c r="C23" s="59"/>
      <c r="D23" s="53"/>
      <c r="E23" s="28"/>
      <c r="F23" s="29"/>
      <c r="G23" s="55"/>
      <c r="H23" s="53"/>
      <c r="I23" s="29"/>
      <c r="J23" s="55"/>
      <c r="K23" s="53"/>
      <c r="L23" s="29"/>
      <c r="M23" s="55"/>
      <c r="N23" s="53"/>
      <c r="O23" s="29"/>
      <c r="P23" s="55"/>
      <c r="Q23" s="53"/>
      <c r="R23" s="29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1"/>
      <c r="B24" s="57"/>
      <c r="C24" s="58"/>
      <c r="D24" s="60"/>
      <c r="E24" s="61"/>
      <c r="F24" s="62"/>
      <c r="G24" s="63" t="s">
        <v>30</v>
      </c>
      <c r="H24" s="25"/>
      <c r="I24" s="26"/>
      <c r="J24" s="74" t="s">
        <v>31</v>
      </c>
      <c r="K24" s="25"/>
      <c r="L24" s="25"/>
      <c r="M24" s="25"/>
      <c r="N24" s="25"/>
      <c r="O24" s="25"/>
      <c r="P24" s="25"/>
      <c r="Q24" s="25"/>
      <c r="R24" s="26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27"/>
      <c r="C25" s="59"/>
      <c r="D25" s="64"/>
      <c r="E25" s="65"/>
      <c r="F25" s="66"/>
      <c r="G25" s="27"/>
      <c r="H25" s="28"/>
      <c r="I25" s="29"/>
      <c r="J25" s="27"/>
      <c r="K25" s="28"/>
      <c r="L25" s="28"/>
      <c r="M25" s="28"/>
      <c r="N25" s="28"/>
      <c r="O25" s="28"/>
      <c r="P25" s="28"/>
      <c r="Q25" s="28"/>
      <c r="R25" s="29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57">
        <v>0.4</v>
      </c>
      <c r="C26" s="58"/>
      <c r="D26" s="67" t="s">
        <v>32</v>
      </c>
      <c r="E26" s="61"/>
      <c r="F26" s="62"/>
      <c r="G26" s="79" t="s">
        <v>33</v>
      </c>
      <c r="H26" s="69" t="s">
        <v>34</v>
      </c>
      <c r="I26" s="26"/>
      <c r="J26" s="72" t="s">
        <v>35</v>
      </c>
      <c r="K26" s="71" t="s">
        <v>34</v>
      </c>
      <c r="L26" s="26"/>
      <c r="M26" s="72" t="s">
        <v>35</v>
      </c>
      <c r="N26" s="71" t="s">
        <v>34</v>
      </c>
      <c r="O26" s="26"/>
      <c r="P26" s="72" t="s">
        <v>35</v>
      </c>
      <c r="Q26" s="71" t="s">
        <v>34</v>
      </c>
      <c r="R26" s="26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"/>
      <c r="B27" s="27"/>
      <c r="C27" s="59"/>
      <c r="D27" s="68" t="s">
        <v>36</v>
      </c>
      <c r="E27" s="65"/>
      <c r="F27" s="66"/>
      <c r="G27" s="55"/>
      <c r="H27" s="53"/>
      <c r="I27" s="29"/>
      <c r="J27" s="55"/>
      <c r="K27" s="53"/>
      <c r="L27" s="29"/>
      <c r="M27" s="55"/>
      <c r="N27" s="53"/>
      <c r="O27" s="29"/>
      <c r="P27" s="55"/>
      <c r="Q27" s="53"/>
      <c r="R27" s="29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"/>
      <c r="B28" s="57">
        <v>0.6</v>
      </c>
      <c r="C28" s="58"/>
      <c r="D28" s="67" t="s">
        <v>37</v>
      </c>
      <c r="E28" s="61"/>
      <c r="F28" s="62"/>
      <c r="G28" s="80" t="s">
        <v>35</v>
      </c>
      <c r="H28" s="69" t="s">
        <v>34</v>
      </c>
      <c r="I28" s="26"/>
      <c r="J28" s="70" t="s">
        <v>33</v>
      </c>
      <c r="K28" s="71" t="s">
        <v>34</v>
      </c>
      <c r="L28" s="26"/>
      <c r="M28" s="70" t="s">
        <v>33</v>
      </c>
      <c r="N28" s="71" t="s">
        <v>34</v>
      </c>
      <c r="O28" s="26"/>
      <c r="P28" s="70" t="s">
        <v>38</v>
      </c>
      <c r="Q28" s="71" t="s">
        <v>34</v>
      </c>
      <c r="R28" s="26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27"/>
      <c r="C29" s="59"/>
      <c r="D29" s="68" t="s">
        <v>39</v>
      </c>
      <c r="E29" s="65"/>
      <c r="F29" s="66"/>
      <c r="G29" s="55"/>
      <c r="H29" s="53"/>
      <c r="I29" s="29"/>
      <c r="J29" s="55"/>
      <c r="K29" s="53"/>
      <c r="L29" s="29"/>
      <c r="M29" s="55"/>
      <c r="N29" s="53"/>
      <c r="O29" s="29"/>
      <c r="P29" s="55"/>
      <c r="Q29" s="53"/>
      <c r="R29" s="29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57"/>
      <c r="C30" s="58"/>
      <c r="D30" s="67"/>
      <c r="E30" s="61"/>
      <c r="F30" s="62"/>
      <c r="G30" s="80"/>
      <c r="H30" s="69"/>
      <c r="I30" s="26"/>
      <c r="J30" s="72"/>
      <c r="K30" s="71"/>
      <c r="L30" s="26"/>
      <c r="M30" s="72"/>
      <c r="N30" s="71"/>
      <c r="O30" s="26"/>
      <c r="P30" s="81"/>
      <c r="Q30" s="71"/>
      <c r="R30" s="26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27"/>
      <c r="C31" s="59"/>
      <c r="D31" s="68"/>
      <c r="E31" s="65"/>
      <c r="F31" s="66"/>
      <c r="G31" s="55"/>
      <c r="H31" s="53"/>
      <c r="I31" s="29"/>
      <c r="J31" s="55"/>
      <c r="K31" s="53"/>
      <c r="L31" s="29"/>
      <c r="M31" s="55"/>
      <c r="N31" s="53"/>
      <c r="O31" s="29"/>
      <c r="P31" s="55"/>
      <c r="Q31" s="53"/>
      <c r="R31" s="29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57"/>
      <c r="C32" s="58"/>
      <c r="D32" s="67"/>
      <c r="E32" s="61"/>
      <c r="F32" s="62"/>
      <c r="G32" s="80"/>
      <c r="H32" s="69"/>
      <c r="I32" s="26"/>
      <c r="J32" s="72"/>
      <c r="K32" s="71"/>
      <c r="L32" s="26"/>
      <c r="M32" s="72"/>
      <c r="N32" s="71"/>
      <c r="O32" s="26"/>
      <c r="P32" s="81"/>
      <c r="Q32" s="71"/>
      <c r="R32" s="26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1"/>
      <c r="B33" s="27"/>
      <c r="C33" s="59"/>
      <c r="D33" s="68"/>
      <c r="E33" s="65"/>
      <c r="F33" s="66"/>
      <c r="G33" s="55"/>
      <c r="H33" s="53"/>
      <c r="I33" s="29"/>
      <c r="J33" s="55"/>
      <c r="K33" s="53"/>
      <c r="L33" s="29"/>
      <c r="M33" s="55"/>
      <c r="N33" s="53"/>
      <c r="O33" s="29"/>
      <c r="P33" s="55"/>
      <c r="Q33" s="53"/>
      <c r="R33" s="29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8">
    <mergeCell ref="N32:O33"/>
    <mergeCell ref="P32:P33"/>
    <mergeCell ref="Q32:R33"/>
    <mergeCell ref="B26:C27"/>
    <mergeCell ref="B28:C29"/>
    <mergeCell ref="B30:C31"/>
    <mergeCell ref="B32:C33"/>
    <mergeCell ref="D32:F32"/>
    <mergeCell ref="H32:I33"/>
    <mergeCell ref="J32:J33"/>
    <mergeCell ref="D33:F33"/>
    <mergeCell ref="N26:O27"/>
    <mergeCell ref="P26:P27"/>
    <mergeCell ref="Q26:R27"/>
    <mergeCell ref="N30:O31"/>
    <mergeCell ref="P30:P31"/>
    <mergeCell ref="G32:G33"/>
    <mergeCell ref="H26:I27"/>
    <mergeCell ref="J26:J27"/>
    <mergeCell ref="K26:L27"/>
    <mergeCell ref="M26:M27"/>
    <mergeCell ref="K32:L33"/>
    <mergeCell ref="M32:M33"/>
    <mergeCell ref="B18:R19"/>
    <mergeCell ref="B20:F21"/>
    <mergeCell ref="G20:I21"/>
    <mergeCell ref="J20:L21"/>
    <mergeCell ref="M20:O21"/>
    <mergeCell ref="P20:R21"/>
    <mergeCell ref="K22:L23"/>
    <mergeCell ref="M22:M23"/>
    <mergeCell ref="N22:O23"/>
    <mergeCell ref="P22:P23"/>
    <mergeCell ref="J24:R25"/>
    <mergeCell ref="Q22:R23"/>
    <mergeCell ref="D31:F31"/>
    <mergeCell ref="D28:F28"/>
    <mergeCell ref="D29:F29"/>
    <mergeCell ref="H30:I31"/>
    <mergeCell ref="J30:J31"/>
    <mergeCell ref="G28:G29"/>
    <mergeCell ref="G30:G31"/>
    <mergeCell ref="M28:M29"/>
    <mergeCell ref="N28:O29"/>
    <mergeCell ref="P28:P29"/>
    <mergeCell ref="Q28:R29"/>
    <mergeCell ref="D30:F30"/>
    <mergeCell ref="K30:L31"/>
    <mergeCell ref="M30:M31"/>
    <mergeCell ref="Q30:R31"/>
    <mergeCell ref="D26:F26"/>
    <mergeCell ref="D27:F27"/>
    <mergeCell ref="H28:I29"/>
    <mergeCell ref="J28:J29"/>
    <mergeCell ref="K28:L29"/>
    <mergeCell ref="G26:G27"/>
    <mergeCell ref="H22:I23"/>
    <mergeCell ref="J22:J23"/>
    <mergeCell ref="D22:F23"/>
    <mergeCell ref="B24:C25"/>
    <mergeCell ref="D24:F24"/>
    <mergeCell ref="G24:I25"/>
    <mergeCell ref="D25:F25"/>
    <mergeCell ref="B22:C23"/>
    <mergeCell ref="G22:G23"/>
    <mergeCell ref="B2:D3"/>
    <mergeCell ref="E2:R3"/>
    <mergeCell ref="B4:D17"/>
    <mergeCell ref="E4:R7"/>
    <mergeCell ref="G8:R9"/>
    <mergeCell ref="M10:R11"/>
    <mergeCell ref="R14:R15"/>
    <mergeCell ref="L16:L17"/>
    <mergeCell ref="M16:N17"/>
    <mergeCell ref="O16:O17"/>
    <mergeCell ref="P16:Q17"/>
    <mergeCell ref="R16:R17"/>
    <mergeCell ref="E8:F9"/>
    <mergeCell ref="E16:F17"/>
    <mergeCell ref="G16:H17"/>
    <mergeCell ref="I16:I17"/>
    <mergeCell ref="J16:K17"/>
    <mergeCell ref="M14:N15"/>
    <mergeCell ref="O14:O15"/>
    <mergeCell ref="P14:Q15"/>
    <mergeCell ref="M12:O13"/>
    <mergeCell ref="P12:R13"/>
    <mergeCell ref="E14:F15"/>
    <mergeCell ref="G14:H15"/>
    <mergeCell ref="I14:I15"/>
    <mergeCell ref="J14:K15"/>
    <mergeCell ref="L14:L15"/>
    <mergeCell ref="G10:I11"/>
    <mergeCell ref="J10:L11"/>
    <mergeCell ref="E10:F11"/>
    <mergeCell ref="E12:F13"/>
    <mergeCell ref="G12:I13"/>
    <mergeCell ref="J12:L13"/>
  </mergeCells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/>
  </sheetViews>
  <sheetFormatPr baseColWidth="10" defaultColWidth="14.42578125" defaultRowHeight="15" customHeight="1"/>
  <cols>
    <col min="1" max="1" width="13.5703125" customWidth="1"/>
    <col min="2" max="2" width="12.5703125" customWidth="1"/>
    <col min="3" max="3" width="8.85546875" customWidth="1"/>
    <col min="4" max="4" width="3.7109375" customWidth="1"/>
    <col min="5" max="5" width="3" customWidth="1"/>
    <col min="6" max="6" width="8.85546875" customWidth="1"/>
    <col min="7" max="7" width="13.5703125" customWidth="1"/>
    <col min="8" max="8" width="2.28515625" customWidth="1"/>
    <col min="9" max="9" width="8.140625" customWidth="1"/>
    <col min="10" max="10" width="6.140625" customWidth="1"/>
    <col min="11" max="11" width="1.5703125" customWidth="1"/>
    <col min="12" max="15" width="8.85546875" customWidth="1"/>
    <col min="16" max="16" width="3.7109375" customWidth="1"/>
    <col min="17" max="17" width="8.85546875" customWidth="1"/>
    <col min="18" max="18" width="13.5703125" customWidth="1"/>
    <col min="19" max="19" width="12.5703125" customWidth="1"/>
    <col min="20" max="20" width="8.85546875" customWidth="1"/>
    <col min="21" max="21" width="3.7109375" customWidth="1"/>
    <col min="22" max="22" width="3" customWidth="1"/>
    <col min="23" max="23" width="8.85546875" customWidth="1"/>
    <col min="24" max="24" width="13.5703125" customWidth="1"/>
    <col min="25" max="25" width="2.28515625" customWidth="1"/>
    <col min="26" max="26" width="8.140625" customWidth="1"/>
    <col min="27" max="27" width="6.140625" customWidth="1"/>
    <col min="28" max="28" width="1.5703125" customWidth="1"/>
    <col min="29" max="32" width="8.85546875" customWidth="1"/>
  </cols>
  <sheetData>
    <row r="1" spans="1:32" ht="18" customHeight="1">
      <c r="A1" s="3"/>
      <c r="B1" s="3"/>
      <c r="C1" s="88">
        <v>45996</v>
      </c>
      <c r="D1" s="49"/>
      <c r="E1" s="49"/>
      <c r="F1" s="3"/>
      <c r="G1" s="4" t="s">
        <v>40</v>
      </c>
      <c r="H1" s="3"/>
      <c r="I1" s="89" t="s">
        <v>41</v>
      </c>
      <c r="J1" s="90"/>
      <c r="K1" s="90"/>
      <c r="L1" s="90"/>
      <c r="M1" s="90"/>
      <c r="N1" s="90"/>
      <c r="O1" s="91"/>
      <c r="P1" s="3"/>
      <c r="Q1" s="3"/>
      <c r="R1" s="3"/>
      <c r="S1" s="3"/>
      <c r="T1" s="88">
        <v>45996</v>
      </c>
      <c r="U1" s="49"/>
      <c r="V1" s="49"/>
      <c r="W1" s="3"/>
      <c r="X1" s="4" t="s">
        <v>40</v>
      </c>
      <c r="Y1" s="3"/>
      <c r="Z1" s="89" t="s">
        <v>41</v>
      </c>
      <c r="AA1" s="90"/>
      <c r="AB1" s="90"/>
      <c r="AC1" s="90"/>
      <c r="AD1" s="90"/>
      <c r="AE1" s="90"/>
      <c r="AF1" s="91"/>
    </row>
    <row r="2" spans="1:32" ht="18" customHeight="1">
      <c r="A2" s="3"/>
      <c r="B2" s="3"/>
      <c r="C2" s="88">
        <v>46001</v>
      </c>
      <c r="D2" s="49"/>
      <c r="E2" s="49"/>
      <c r="F2" s="3"/>
      <c r="G2" s="95">
        <v>1</v>
      </c>
      <c r="H2" s="3"/>
      <c r="I2" s="92"/>
      <c r="J2" s="93"/>
      <c r="K2" s="93"/>
      <c r="L2" s="93"/>
      <c r="M2" s="93"/>
      <c r="N2" s="93"/>
      <c r="O2" s="94"/>
      <c r="P2" s="3"/>
      <c r="Q2" s="3"/>
      <c r="R2" s="3"/>
      <c r="S2" s="3"/>
      <c r="T2" s="88">
        <v>46001</v>
      </c>
      <c r="U2" s="49"/>
      <c r="V2" s="49"/>
      <c r="W2" s="3"/>
      <c r="X2" s="95">
        <v>1</v>
      </c>
      <c r="Y2" s="3"/>
      <c r="Z2" s="92"/>
      <c r="AA2" s="93"/>
      <c r="AB2" s="93"/>
      <c r="AC2" s="93"/>
      <c r="AD2" s="93"/>
      <c r="AE2" s="93"/>
      <c r="AF2" s="94"/>
    </row>
    <row r="3" spans="1:32" ht="14.25" customHeight="1">
      <c r="A3" s="3"/>
      <c r="B3" s="3"/>
      <c r="C3" s="5">
        <f>C2-C1</f>
        <v>5</v>
      </c>
      <c r="D3" s="82" t="s">
        <v>42</v>
      </c>
      <c r="E3" s="49"/>
      <c r="F3" s="49"/>
      <c r="G3" s="96"/>
      <c r="H3" s="3"/>
      <c r="I3" s="6"/>
      <c r="J3" s="3"/>
      <c r="K3" s="3"/>
      <c r="L3" s="3"/>
      <c r="M3" s="3"/>
      <c r="N3" s="3"/>
      <c r="O3" s="7"/>
      <c r="P3" s="3"/>
      <c r="Q3" s="3"/>
      <c r="R3" s="3"/>
      <c r="S3" s="3"/>
      <c r="T3" s="5">
        <f>T2-T1</f>
        <v>5</v>
      </c>
      <c r="U3" s="82" t="s">
        <v>42</v>
      </c>
      <c r="V3" s="49"/>
      <c r="W3" s="49"/>
      <c r="X3" s="96"/>
      <c r="Y3" s="3"/>
      <c r="Z3" s="6"/>
      <c r="AA3" s="3"/>
      <c r="AB3" s="3"/>
      <c r="AC3" s="3"/>
      <c r="AD3" s="3"/>
      <c r="AE3" s="3"/>
      <c r="AF3" s="7"/>
    </row>
    <row r="4" spans="1:32" ht="14.25" customHeight="1">
      <c r="A4" s="3"/>
      <c r="B4" s="3"/>
      <c r="C4" s="83" t="s">
        <v>43</v>
      </c>
      <c r="D4" s="49"/>
      <c r="E4" s="49"/>
      <c r="F4" s="84" t="s">
        <v>44</v>
      </c>
      <c r="G4" s="49"/>
      <c r="H4" s="3"/>
      <c r="I4" s="6"/>
      <c r="J4" s="3"/>
      <c r="K4" s="3"/>
      <c r="L4" s="3"/>
      <c r="M4" s="3"/>
      <c r="N4" s="3"/>
      <c r="O4" s="7"/>
      <c r="P4" s="3"/>
      <c r="Q4" s="3"/>
      <c r="R4" s="3"/>
      <c r="S4" s="3"/>
      <c r="T4" s="83" t="s">
        <v>43</v>
      </c>
      <c r="U4" s="49"/>
      <c r="V4" s="49"/>
      <c r="W4" s="84" t="s">
        <v>44</v>
      </c>
      <c r="X4" s="49"/>
      <c r="Y4" s="3"/>
      <c r="Z4" s="6"/>
      <c r="AA4" s="3"/>
      <c r="AB4" s="3"/>
      <c r="AC4" s="3"/>
      <c r="AD4" s="3"/>
      <c r="AE4" s="3"/>
      <c r="AF4" s="7"/>
    </row>
    <row r="5" spans="1:32" ht="14.25" customHeight="1">
      <c r="A5" s="3"/>
      <c r="B5" s="3"/>
      <c r="C5" s="85">
        <v>250</v>
      </c>
      <c r="D5" s="49"/>
      <c r="E5" s="49"/>
      <c r="F5" s="3"/>
      <c r="G5" s="8"/>
      <c r="H5" s="3"/>
      <c r="I5" s="9"/>
      <c r="J5" s="10"/>
      <c r="K5" s="10"/>
      <c r="L5" s="3"/>
      <c r="M5" s="3"/>
      <c r="N5" s="3"/>
      <c r="O5" s="7"/>
      <c r="P5" s="3"/>
      <c r="Q5" s="3"/>
      <c r="R5" s="3"/>
      <c r="S5" s="3"/>
      <c r="T5" s="85">
        <v>250</v>
      </c>
      <c r="U5" s="49"/>
      <c r="V5" s="49"/>
      <c r="W5" s="3"/>
      <c r="X5" s="8"/>
      <c r="Y5" s="3"/>
      <c r="Z5" s="9"/>
      <c r="AA5" s="10"/>
      <c r="AB5" s="10"/>
      <c r="AC5" s="3"/>
      <c r="AD5" s="3"/>
      <c r="AE5" s="3"/>
      <c r="AF5" s="7"/>
    </row>
    <row r="6" spans="1:32" ht="14.25" customHeight="1">
      <c r="A6" s="3"/>
      <c r="B6" s="3"/>
      <c r="C6" s="49"/>
      <c r="D6" s="49"/>
      <c r="E6" s="49"/>
      <c r="F6" s="11" t="s">
        <v>45</v>
      </c>
      <c r="G6" s="11" t="s">
        <v>46</v>
      </c>
      <c r="H6" s="3"/>
      <c r="I6" s="3" t="s">
        <v>47</v>
      </c>
      <c r="J6" s="3" t="s">
        <v>48</v>
      </c>
      <c r="K6" s="3"/>
      <c r="L6" s="6"/>
      <c r="M6" s="3"/>
      <c r="N6" s="3"/>
      <c r="O6" s="7"/>
      <c r="P6" s="3"/>
      <c r="Q6" s="3"/>
      <c r="R6" s="3"/>
      <c r="S6" s="3"/>
      <c r="T6" s="49"/>
      <c r="U6" s="49"/>
      <c r="V6" s="49"/>
      <c r="W6" s="11" t="s">
        <v>45</v>
      </c>
      <c r="X6" s="11" t="s">
        <v>46</v>
      </c>
      <c r="Y6" s="3"/>
      <c r="Z6" s="3" t="s">
        <v>47</v>
      </c>
      <c r="AA6" s="3" t="s">
        <v>48</v>
      </c>
      <c r="AB6" s="3"/>
      <c r="AC6" s="6"/>
      <c r="AD6" s="3"/>
      <c r="AE6" s="3"/>
      <c r="AF6" s="7"/>
    </row>
    <row r="7" spans="1:32" ht="14.25" customHeight="1">
      <c r="A7" s="3"/>
      <c r="B7" s="3"/>
      <c r="C7" s="11" t="s">
        <v>49</v>
      </c>
      <c r="D7" s="12">
        <v>1</v>
      </c>
      <c r="E7" s="13" t="s">
        <v>50</v>
      </c>
      <c r="F7" s="14"/>
      <c r="G7" s="15"/>
      <c r="H7" s="3"/>
      <c r="I7" s="16"/>
      <c r="J7" s="16"/>
      <c r="K7" s="3"/>
      <c r="L7" s="6"/>
      <c r="M7" s="3"/>
      <c r="N7" s="3"/>
      <c r="O7" s="7"/>
      <c r="P7" s="3"/>
      <c r="Q7" s="3"/>
      <c r="R7" s="3"/>
      <c r="S7" s="3"/>
      <c r="T7" s="11" t="s">
        <v>49</v>
      </c>
      <c r="U7" s="12">
        <v>1</v>
      </c>
      <c r="V7" s="13" t="s">
        <v>50</v>
      </c>
      <c r="W7" s="14"/>
      <c r="X7" s="15"/>
      <c r="Y7" s="3"/>
      <c r="Z7" s="16"/>
      <c r="AA7" s="16"/>
      <c r="AB7" s="3"/>
      <c r="AC7" s="6"/>
      <c r="AD7" s="3"/>
      <c r="AE7" s="3"/>
      <c r="AF7" s="7"/>
    </row>
    <row r="8" spans="1:32" ht="14.25" customHeight="1">
      <c r="A8" s="3"/>
      <c r="B8" s="3"/>
      <c r="C8" s="11" t="s">
        <v>49</v>
      </c>
      <c r="D8" s="12">
        <v>2</v>
      </c>
      <c r="E8" s="13" t="s">
        <v>50</v>
      </c>
      <c r="F8" s="14"/>
      <c r="G8" s="16"/>
      <c r="H8" s="3"/>
      <c r="I8" s="16"/>
      <c r="J8" s="16"/>
      <c r="K8" s="3"/>
      <c r="L8" s="6"/>
      <c r="M8" s="3"/>
      <c r="N8" s="3"/>
      <c r="O8" s="7"/>
      <c r="P8" s="3"/>
      <c r="Q8" s="3"/>
      <c r="R8" s="3"/>
      <c r="S8" s="3"/>
      <c r="T8" s="11" t="s">
        <v>49</v>
      </c>
      <c r="U8" s="12">
        <v>2</v>
      </c>
      <c r="V8" s="13" t="s">
        <v>50</v>
      </c>
      <c r="W8" s="14"/>
      <c r="X8" s="16"/>
      <c r="Y8" s="3"/>
      <c r="Z8" s="16"/>
      <c r="AA8" s="16"/>
      <c r="AB8" s="3"/>
      <c r="AC8" s="6"/>
      <c r="AD8" s="3"/>
      <c r="AE8" s="3"/>
      <c r="AF8" s="7"/>
    </row>
    <row r="9" spans="1:32" ht="14.25" customHeight="1">
      <c r="A9" s="3"/>
      <c r="B9" s="3"/>
      <c r="C9" s="11" t="s">
        <v>49</v>
      </c>
      <c r="D9" s="12">
        <v>3</v>
      </c>
      <c r="E9" s="13" t="s">
        <v>50</v>
      </c>
      <c r="F9" s="14"/>
      <c r="G9" s="16"/>
      <c r="H9" s="3"/>
      <c r="I9" s="16"/>
      <c r="J9" s="16"/>
      <c r="K9" s="3"/>
      <c r="L9" s="6"/>
      <c r="M9" s="3"/>
      <c r="N9" s="3"/>
      <c r="O9" s="7"/>
      <c r="P9" s="3"/>
      <c r="Q9" s="3"/>
      <c r="R9" s="3"/>
      <c r="S9" s="3"/>
      <c r="T9" s="11" t="s">
        <v>49</v>
      </c>
      <c r="U9" s="12">
        <v>3</v>
      </c>
      <c r="V9" s="13" t="s">
        <v>50</v>
      </c>
      <c r="W9" s="14"/>
      <c r="X9" s="16"/>
      <c r="Y9" s="3"/>
      <c r="Z9" s="16"/>
      <c r="AA9" s="16"/>
      <c r="AB9" s="3"/>
      <c r="AC9" s="6"/>
      <c r="AD9" s="3"/>
      <c r="AE9" s="3"/>
      <c r="AF9" s="7"/>
    </row>
    <row r="10" spans="1:32" ht="14.25" customHeight="1">
      <c r="A10" s="3"/>
      <c r="B10" s="3"/>
      <c r="C10" s="11"/>
      <c r="D10" s="3"/>
      <c r="E10" s="3"/>
      <c r="F10" s="3"/>
      <c r="G10" s="3"/>
      <c r="H10" s="3"/>
      <c r="I10" s="12"/>
      <c r="J10" s="3"/>
      <c r="K10" s="3"/>
      <c r="L10" s="6"/>
      <c r="M10" s="3"/>
      <c r="N10" s="3"/>
      <c r="O10" s="7"/>
      <c r="P10" s="3"/>
      <c r="Q10" s="3"/>
      <c r="R10" s="3"/>
      <c r="S10" s="3"/>
      <c r="T10" s="11"/>
      <c r="U10" s="3"/>
      <c r="V10" s="3"/>
      <c r="W10" s="3"/>
      <c r="X10" s="3"/>
      <c r="Y10" s="3"/>
      <c r="Z10" s="12"/>
      <c r="AA10" s="3"/>
      <c r="AB10" s="3"/>
      <c r="AC10" s="6"/>
      <c r="AD10" s="3"/>
      <c r="AE10" s="3"/>
      <c r="AF10" s="7"/>
    </row>
    <row r="11" spans="1:32" ht="14.25" customHeight="1">
      <c r="A11" s="3"/>
      <c r="B11" s="3"/>
      <c r="C11" s="11"/>
      <c r="D11" s="3"/>
      <c r="E11" s="3"/>
      <c r="F11" s="3"/>
      <c r="G11" s="3"/>
      <c r="H11" s="3"/>
      <c r="I11" s="12"/>
      <c r="J11" s="3"/>
      <c r="K11" s="3"/>
      <c r="L11" s="6"/>
      <c r="M11" s="3"/>
      <c r="N11" s="3"/>
      <c r="O11" s="7"/>
      <c r="P11" s="3"/>
      <c r="Q11" s="3"/>
      <c r="R11" s="3"/>
      <c r="S11" s="3"/>
      <c r="T11" s="11"/>
      <c r="U11" s="3"/>
      <c r="V11" s="3"/>
      <c r="W11" s="3"/>
      <c r="X11" s="3"/>
      <c r="Y11" s="3"/>
      <c r="Z11" s="12"/>
      <c r="AA11" s="3"/>
      <c r="AB11" s="3"/>
      <c r="AC11" s="6"/>
      <c r="AD11" s="3"/>
      <c r="AE11" s="3"/>
      <c r="AF11" s="7"/>
    </row>
    <row r="12" spans="1:32" ht="14.25" customHeight="1">
      <c r="A12" s="3"/>
      <c r="B12" s="3"/>
      <c r="C12" s="11"/>
      <c r="D12" s="3"/>
      <c r="E12" s="3"/>
      <c r="F12" s="3"/>
      <c r="G12" s="3"/>
      <c r="H12" s="3"/>
      <c r="I12" s="12"/>
      <c r="J12" s="3"/>
      <c r="K12" s="3"/>
      <c r="L12" s="6"/>
      <c r="M12" s="3"/>
      <c r="N12" s="3"/>
      <c r="O12" s="7"/>
      <c r="P12" s="3"/>
      <c r="Q12" s="3"/>
      <c r="R12" s="3"/>
      <c r="S12" s="3"/>
      <c r="T12" s="11"/>
      <c r="U12" s="3"/>
      <c r="V12" s="3"/>
      <c r="W12" s="3"/>
      <c r="X12" s="3"/>
      <c r="Y12" s="3"/>
      <c r="Z12" s="12"/>
      <c r="AA12" s="3"/>
      <c r="AB12" s="3"/>
      <c r="AC12" s="6"/>
      <c r="AD12" s="3"/>
      <c r="AE12" s="3"/>
      <c r="AF12" s="7"/>
    </row>
    <row r="13" spans="1:32" ht="14.25" customHeight="1">
      <c r="A13" s="17" t="s">
        <v>4</v>
      </c>
      <c r="B13" s="18" t="s">
        <v>51</v>
      </c>
      <c r="C13" s="11"/>
      <c r="D13" s="3"/>
      <c r="E13" s="3"/>
      <c r="F13" s="3"/>
      <c r="G13" s="3"/>
      <c r="H13" s="3"/>
      <c r="I13" s="12"/>
      <c r="J13" s="3"/>
      <c r="K13" s="3"/>
      <c r="L13" s="6"/>
      <c r="M13" s="3"/>
      <c r="N13" s="3"/>
      <c r="O13" s="7"/>
      <c r="P13" s="3"/>
      <c r="Q13" s="3"/>
      <c r="R13" s="17" t="s">
        <v>4</v>
      </c>
      <c r="S13" s="18" t="s">
        <v>51</v>
      </c>
      <c r="T13" s="11"/>
      <c r="U13" s="3"/>
      <c r="V13" s="3"/>
      <c r="W13" s="3"/>
      <c r="X13" s="3"/>
      <c r="Y13" s="3"/>
      <c r="Z13" s="12"/>
      <c r="AA13" s="3"/>
      <c r="AB13" s="3"/>
      <c r="AC13" s="6"/>
      <c r="AD13" s="3"/>
      <c r="AE13" s="3"/>
      <c r="AF13" s="7"/>
    </row>
    <row r="14" spans="1:32" ht="14.25" customHeight="1">
      <c r="A14" s="17" t="s">
        <v>6</v>
      </c>
      <c r="B14" s="18" t="s">
        <v>7</v>
      </c>
      <c r="C14" s="11"/>
      <c r="D14" s="3"/>
      <c r="E14" s="3"/>
      <c r="F14" s="3"/>
      <c r="G14" s="3"/>
      <c r="H14" s="3"/>
      <c r="I14" s="12"/>
      <c r="J14" s="3"/>
      <c r="K14" s="3"/>
      <c r="L14" s="6"/>
      <c r="M14" s="3"/>
      <c r="N14" s="3"/>
      <c r="O14" s="7"/>
      <c r="P14" s="3"/>
      <c r="Q14" s="3"/>
      <c r="R14" s="17" t="s">
        <v>6</v>
      </c>
      <c r="S14" s="18" t="s">
        <v>8</v>
      </c>
      <c r="T14" s="11"/>
      <c r="U14" s="3"/>
      <c r="V14" s="3"/>
      <c r="W14" s="3"/>
      <c r="X14" s="3"/>
      <c r="Y14" s="3"/>
      <c r="Z14" s="12"/>
      <c r="AA14" s="3"/>
      <c r="AB14" s="3"/>
      <c r="AC14" s="6"/>
      <c r="AD14" s="3"/>
      <c r="AE14" s="3"/>
      <c r="AF14" s="7"/>
    </row>
    <row r="15" spans="1:32" ht="14.25" customHeight="1">
      <c r="A15" s="17" t="s">
        <v>52</v>
      </c>
      <c r="B15" s="18" t="s">
        <v>53</v>
      </c>
      <c r="C15" s="11"/>
      <c r="D15" s="3"/>
      <c r="E15" s="3"/>
      <c r="F15" s="3"/>
      <c r="G15" s="3"/>
      <c r="H15" s="3"/>
      <c r="I15" s="12"/>
      <c r="J15" s="3"/>
      <c r="K15" s="3"/>
      <c r="L15" s="6"/>
      <c r="M15" s="3"/>
      <c r="N15" s="3"/>
      <c r="O15" s="7"/>
      <c r="P15" s="3"/>
      <c r="Q15" s="3"/>
      <c r="R15" s="17" t="s">
        <v>52</v>
      </c>
      <c r="S15" s="18" t="s">
        <v>54</v>
      </c>
      <c r="T15" s="11"/>
      <c r="U15" s="3"/>
      <c r="V15" s="3"/>
      <c r="W15" s="3"/>
      <c r="X15" s="3"/>
      <c r="Y15" s="3"/>
      <c r="Z15" s="12"/>
      <c r="AA15" s="3"/>
      <c r="AB15" s="3"/>
      <c r="AC15" s="6"/>
      <c r="AD15" s="3"/>
      <c r="AE15" s="3"/>
      <c r="AF15" s="7"/>
    </row>
    <row r="16" spans="1:32" ht="14.25" customHeight="1">
      <c r="A16" s="17" t="s">
        <v>55</v>
      </c>
      <c r="B16" s="18">
        <v>0.115</v>
      </c>
      <c r="C16" s="11"/>
      <c r="D16" s="3"/>
      <c r="E16" s="3"/>
      <c r="F16" s="3"/>
      <c r="G16" s="3"/>
      <c r="H16" s="3"/>
      <c r="I16" s="12"/>
      <c r="J16" s="3"/>
      <c r="K16" s="3"/>
      <c r="L16" s="6"/>
      <c r="M16" s="3"/>
      <c r="N16" s="3"/>
      <c r="O16" s="7"/>
      <c r="P16" s="3"/>
      <c r="Q16" s="3"/>
      <c r="R16" s="17" t="s">
        <v>55</v>
      </c>
      <c r="S16" s="18">
        <v>0.112</v>
      </c>
      <c r="T16" s="11"/>
      <c r="U16" s="3"/>
      <c r="V16" s="3"/>
      <c r="W16" s="3"/>
      <c r="X16" s="3"/>
      <c r="Y16" s="3"/>
      <c r="Z16" s="12"/>
      <c r="AA16" s="3"/>
      <c r="AB16" s="3"/>
      <c r="AC16" s="6"/>
      <c r="AD16" s="3"/>
      <c r="AE16" s="3"/>
      <c r="AF16" s="7"/>
    </row>
    <row r="17" spans="1:32" ht="14.25" customHeight="1">
      <c r="A17" s="17" t="s">
        <v>17</v>
      </c>
      <c r="B17" s="19">
        <v>6</v>
      </c>
      <c r="C17" s="11"/>
      <c r="D17" s="3"/>
      <c r="E17" s="3"/>
      <c r="F17" s="3"/>
      <c r="G17" s="3"/>
      <c r="H17" s="3"/>
      <c r="I17" s="12"/>
      <c r="J17" s="3"/>
      <c r="K17" s="3"/>
      <c r="L17" s="6"/>
      <c r="M17" s="3"/>
      <c r="N17" s="3"/>
      <c r="O17" s="7"/>
      <c r="P17" s="3"/>
      <c r="Q17" s="3"/>
      <c r="R17" s="17" t="s">
        <v>17</v>
      </c>
      <c r="S17" s="19">
        <v>6</v>
      </c>
      <c r="T17" s="11"/>
      <c r="U17" s="3"/>
      <c r="V17" s="3"/>
      <c r="W17" s="3"/>
      <c r="X17" s="3"/>
      <c r="Y17" s="3"/>
      <c r="Z17" s="12"/>
      <c r="AA17" s="3"/>
      <c r="AB17" s="3"/>
      <c r="AC17" s="6"/>
      <c r="AD17" s="3"/>
      <c r="AE17" s="3"/>
      <c r="AF17" s="7"/>
    </row>
    <row r="18" spans="1:32" ht="14.25" customHeight="1">
      <c r="A18" s="20" t="s">
        <v>56</v>
      </c>
      <c r="B18" s="21">
        <v>12</v>
      </c>
      <c r="C18" s="11"/>
      <c r="D18" s="3"/>
      <c r="E18" s="3"/>
      <c r="F18" s="3"/>
      <c r="G18" s="3"/>
      <c r="H18" s="3"/>
      <c r="I18" s="12"/>
      <c r="J18" s="3"/>
      <c r="K18" s="3"/>
      <c r="L18" s="6"/>
      <c r="M18" s="3"/>
      <c r="N18" s="3"/>
      <c r="O18" s="7"/>
      <c r="P18" s="3"/>
      <c r="Q18" s="3"/>
      <c r="R18" s="20" t="s">
        <v>57</v>
      </c>
      <c r="S18" s="21">
        <v>12</v>
      </c>
      <c r="T18" s="11"/>
      <c r="U18" s="3"/>
      <c r="V18" s="3"/>
      <c r="W18" s="3"/>
      <c r="X18" s="3"/>
      <c r="Y18" s="3"/>
      <c r="Z18" s="12"/>
      <c r="AA18" s="3"/>
      <c r="AB18" s="3"/>
      <c r="AC18" s="6"/>
      <c r="AD18" s="3"/>
      <c r="AE18" s="3"/>
      <c r="AF18" s="7"/>
    </row>
    <row r="19" spans="1:32" ht="14.25" customHeight="1">
      <c r="A19" s="20" t="s">
        <v>58</v>
      </c>
      <c r="B19" s="22">
        <f>(B18*60)/B17</f>
        <v>120</v>
      </c>
      <c r="C19" s="11"/>
      <c r="D19" s="3"/>
      <c r="E19" s="3"/>
      <c r="F19" s="3"/>
      <c r="G19" s="3"/>
      <c r="H19" s="3"/>
      <c r="I19" s="12"/>
      <c r="J19" s="3"/>
      <c r="K19" s="3"/>
      <c r="L19" s="6"/>
      <c r="M19" s="3"/>
      <c r="N19" s="3"/>
      <c r="O19" s="7"/>
      <c r="P19" s="3"/>
      <c r="Q19" s="3"/>
      <c r="R19" s="20" t="s">
        <v>58</v>
      </c>
      <c r="S19" s="22">
        <f>(S18*60)/S17</f>
        <v>120</v>
      </c>
      <c r="T19" s="11"/>
      <c r="U19" s="3"/>
      <c r="V19" s="3"/>
      <c r="W19" s="3"/>
      <c r="X19" s="3"/>
      <c r="Y19" s="3"/>
      <c r="Z19" s="12"/>
      <c r="AA19" s="3"/>
      <c r="AB19" s="3"/>
      <c r="AC19" s="6"/>
      <c r="AD19" s="3"/>
      <c r="AE19" s="3"/>
      <c r="AF19" s="7"/>
    </row>
    <row r="20" spans="1:32" ht="14.25" customHeight="1">
      <c r="A20" s="83" t="s">
        <v>24</v>
      </c>
      <c r="B20" s="49"/>
      <c r="C20" s="3"/>
      <c r="D20" s="3"/>
      <c r="E20" s="3"/>
      <c r="F20" s="3"/>
      <c r="G20" s="3"/>
      <c r="H20" s="3"/>
      <c r="I20" s="12"/>
      <c r="J20" s="3"/>
      <c r="K20" s="3"/>
      <c r="L20" s="6"/>
      <c r="M20" s="3"/>
      <c r="N20" s="3"/>
      <c r="O20" s="7"/>
      <c r="P20" s="3"/>
      <c r="Q20" s="3"/>
      <c r="R20" s="83" t="s">
        <v>24</v>
      </c>
      <c r="S20" s="49"/>
      <c r="T20" s="3"/>
      <c r="U20" s="3"/>
      <c r="V20" s="3"/>
      <c r="W20" s="3"/>
      <c r="X20" s="3"/>
      <c r="Y20" s="3"/>
      <c r="Z20" s="12"/>
      <c r="AA20" s="3"/>
      <c r="AB20" s="3"/>
      <c r="AC20" s="6"/>
      <c r="AD20" s="3"/>
      <c r="AE20" s="3"/>
      <c r="AF20" s="7"/>
    </row>
    <row r="21" spans="1:32" ht="14.25" customHeight="1">
      <c r="A21" s="86" t="s">
        <v>59</v>
      </c>
      <c r="B21" s="49"/>
      <c r="C21" s="23">
        <v>0.4</v>
      </c>
      <c r="D21" s="3"/>
      <c r="E21" s="3"/>
      <c r="F21" s="3"/>
      <c r="G21" s="3"/>
      <c r="H21" s="3"/>
      <c r="I21" s="12"/>
      <c r="J21" s="3"/>
      <c r="K21" s="3"/>
      <c r="L21" s="6"/>
      <c r="M21" s="3"/>
      <c r="N21" s="3"/>
      <c r="O21" s="7"/>
      <c r="P21" s="3"/>
      <c r="Q21" s="3"/>
      <c r="R21" s="86" t="s">
        <v>59</v>
      </c>
      <c r="S21" s="49"/>
      <c r="T21" s="23">
        <v>0.4</v>
      </c>
      <c r="U21" s="3"/>
      <c r="V21" s="3"/>
      <c r="W21" s="3"/>
      <c r="X21" s="3"/>
      <c r="Y21" s="3"/>
      <c r="Z21" s="12"/>
      <c r="AA21" s="3"/>
      <c r="AB21" s="3"/>
      <c r="AC21" s="6"/>
      <c r="AD21" s="3"/>
      <c r="AE21" s="3"/>
      <c r="AF21" s="7"/>
    </row>
    <row r="22" spans="1:32" ht="14.25" customHeight="1">
      <c r="A22" s="87" t="s">
        <v>60</v>
      </c>
      <c r="B22" s="49"/>
      <c r="C22" s="23">
        <v>0.6</v>
      </c>
      <c r="D22" s="3"/>
      <c r="E22" s="3"/>
      <c r="F22" s="3"/>
      <c r="G22" s="3"/>
      <c r="H22" s="3"/>
      <c r="I22" s="12"/>
      <c r="J22" s="3"/>
      <c r="K22" s="3"/>
      <c r="L22" s="6"/>
      <c r="M22" s="3"/>
      <c r="N22" s="3"/>
      <c r="O22" s="7"/>
      <c r="P22" s="3"/>
      <c r="Q22" s="3"/>
      <c r="R22" s="87" t="s">
        <v>60</v>
      </c>
      <c r="S22" s="49"/>
      <c r="T22" s="23">
        <v>0.6</v>
      </c>
      <c r="U22" s="3"/>
      <c r="V22" s="3"/>
      <c r="W22" s="3"/>
      <c r="X22" s="3"/>
      <c r="Y22" s="3"/>
      <c r="Z22" s="12"/>
      <c r="AA22" s="3"/>
      <c r="AB22" s="3"/>
      <c r="AC22" s="6"/>
      <c r="AD22" s="3"/>
      <c r="AE22" s="3"/>
      <c r="AF22" s="7"/>
    </row>
    <row r="23" spans="1:32" ht="14.25" customHeight="1">
      <c r="A23" s="3"/>
      <c r="B23" s="3"/>
      <c r="C23" s="3"/>
      <c r="D23" s="3"/>
      <c r="E23" s="3"/>
      <c r="F23" s="3"/>
      <c r="G23" s="3"/>
      <c r="H23" s="3"/>
      <c r="I23" s="12"/>
      <c r="J23" s="3"/>
      <c r="K23" s="3"/>
      <c r="L23" s="6"/>
      <c r="M23" s="3"/>
      <c r="N23" s="3"/>
      <c r="O23" s="7"/>
      <c r="P23" s="3"/>
      <c r="Q23" s="3"/>
      <c r="R23" s="3"/>
      <c r="S23" s="3"/>
      <c r="T23" s="3"/>
      <c r="U23" s="3"/>
      <c r="V23" s="3"/>
      <c r="W23" s="3"/>
      <c r="X23" s="3"/>
      <c r="Y23" s="3"/>
      <c r="Z23" s="12"/>
      <c r="AA23" s="3"/>
      <c r="AB23" s="3"/>
      <c r="AC23" s="6"/>
      <c r="AD23" s="3"/>
      <c r="AE23" s="3"/>
      <c r="AF23" s="7"/>
    </row>
    <row r="24" spans="1:32" ht="14.25" customHeight="1">
      <c r="A24" s="83" t="s">
        <v>19</v>
      </c>
      <c r="B24" s="49"/>
      <c r="C24" s="3"/>
      <c r="D24" s="3"/>
      <c r="E24" s="3"/>
      <c r="F24" s="3"/>
      <c r="G24" s="3"/>
      <c r="H24" s="3"/>
      <c r="I24" s="12"/>
      <c r="J24" s="3"/>
      <c r="K24" s="3"/>
      <c r="L24" s="6"/>
      <c r="M24" s="3"/>
      <c r="N24" s="3"/>
      <c r="O24" s="7"/>
      <c r="P24" s="3"/>
      <c r="Q24" s="3"/>
      <c r="R24" s="83" t="s">
        <v>19</v>
      </c>
      <c r="S24" s="49"/>
      <c r="T24" s="3"/>
      <c r="U24" s="3"/>
      <c r="V24" s="3"/>
      <c r="W24" s="3"/>
      <c r="X24" s="3"/>
      <c r="Y24" s="3"/>
      <c r="Z24" s="12"/>
      <c r="AA24" s="3"/>
      <c r="AB24" s="3"/>
      <c r="AC24" s="6"/>
      <c r="AD24" s="3"/>
      <c r="AE24" s="3"/>
      <c r="AF24" s="7"/>
    </row>
    <row r="25" spans="1:32" ht="14.25" customHeight="1">
      <c r="A25" s="11" t="s">
        <v>61</v>
      </c>
      <c r="B25" s="11" t="s">
        <v>62</v>
      </c>
      <c r="C25" s="3"/>
      <c r="D25" s="3"/>
      <c r="E25" s="3"/>
      <c r="F25" s="3"/>
      <c r="G25" s="3"/>
      <c r="H25" s="3"/>
      <c r="I25" s="12"/>
      <c r="J25" s="3"/>
      <c r="K25" s="3"/>
      <c r="L25" s="6"/>
      <c r="M25" s="3"/>
      <c r="N25" s="3"/>
      <c r="O25" s="7"/>
      <c r="P25" s="3"/>
      <c r="Q25" s="3"/>
      <c r="R25" s="11" t="s">
        <v>61</v>
      </c>
      <c r="S25" s="11" t="s">
        <v>62</v>
      </c>
      <c r="T25" s="3"/>
      <c r="U25" s="3"/>
      <c r="V25" s="3"/>
      <c r="W25" s="3"/>
      <c r="X25" s="3"/>
      <c r="Y25" s="3"/>
      <c r="Z25" s="12"/>
      <c r="AA25" s="3"/>
      <c r="AB25" s="3"/>
      <c r="AC25" s="6"/>
      <c r="AD25" s="3"/>
      <c r="AE25" s="3"/>
      <c r="AF25" s="7"/>
    </row>
    <row r="26" spans="1:32" ht="14.25" customHeight="1">
      <c r="A26" s="11" t="s">
        <v>35</v>
      </c>
      <c r="B26" s="11" t="s">
        <v>63</v>
      </c>
      <c r="C26" s="3"/>
      <c r="D26" s="3"/>
      <c r="E26" s="3"/>
      <c r="F26" s="3"/>
      <c r="G26" s="3"/>
      <c r="H26" s="3"/>
      <c r="I26" s="12"/>
      <c r="J26" s="3"/>
      <c r="K26" s="3"/>
      <c r="L26" s="6"/>
      <c r="M26" s="3"/>
      <c r="N26" s="3"/>
      <c r="O26" s="7"/>
      <c r="P26" s="3"/>
      <c r="Q26" s="3"/>
      <c r="R26" s="11" t="s">
        <v>35</v>
      </c>
      <c r="S26" s="11" t="s">
        <v>63</v>
      </c>
      <c r="T26" s="3"/>
      <c r="U26" s="3"/>
      <c r="V26" s="3"/>
      <c r="W26" s="3"/>
      <c r="X26" s="3"/>
      <c r="Y26" s="3"/>
      <c r="Z26" s="12"/>
      <c r="AA26" s="3"/>
      <c r="AB26" s="3"/>
      <c r="AC26" s="6"/>
      <c r="AD26" s="3"/>
      <c r="AE26" s="3"/>
      <c r="AF26" s="7"/>
    </row>
    <row r="27" spans="1:32" ht="14.25" customHeight="1">
      <c r="A27" s="11" t="s">
        <v>33</v>
      </c>
      <c r="B27" s="11" t="s">
        <v>63</v>
      </c>
      <c r="C27" s="3"/>
      <c r="D27" s="3"/>
      <c r="E27" s="3"/>
      <c r="F27" s="3"/>
      <c r="G27" s="3"/>
      <c r="H27" s="3"/>
      <c r="I27" s="12"/>
      <c r="J27" s="3"/>
      <c r="K27" s="3"/>
      <c r="L27" s="9"/>
      <c r="M27" s="10"/>
      <c r="N27" s="10"/>
      <c r="O27" s="14"/>
      <c r="P27" s="3"/>
      <c r="Q27" s="3"/>
      <c r="R27" s="11" t="s">
        <v>33</v>
      </c>
      <c r="S27" s="11" t="s">
        <v>63</v>
      </c>
      <c r="T27" s="3"/>
      <c r="U27" s="3"/>
      <c r="V27" s="3"/>
      <c r="W27" s="3"/>
      <c r="X27" s="3"/>
      <c r="Y27" s="3"/>
      <c r="Z27" s="12"/>
      <c r="AA27" s="3"/>
      <c r="AB27" s="3"/>
      <c r="AC27" s="9"/>
      <c r="AD27" s="10"/>
      <c r="AE27" s="10"/>
      <c r="AF27" s="14"/>
    </row>
    <row r="28" spans="1:32" ht="14.25" customHeight="1">
      <c r="A28" s="3"/>
      <c r="B28" s="3"/>
      <c r="C28" s="12"/>
      <c r="D28" s="1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2"/>
      <c r="U28" s="12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24">
    <mergeCell ref="A22:B22"/>
    <mergeCell ref="A24:B24"/>
    <mergeCell ref="C2:E2"/>
    <mergeCell ref="D3:F3"/>
    <mergeCell ref="C4:E4"/>
    <mergeCell ref="F4:G4"/>
    <mergeCell ref="C5:E6"/>
    <mergeCell ref="A20:B20"/>
    <mergeCell ref="A21:B21"/>
    <mergeCell ref="T1:V1"/>
    <mergeCell ref="Z1:AF2"/>
    <mergeCell ref="G2:G3"/>
    <mergeCell ref="T2:V2"/>
    <mergeCell ref="X2:X3"/>
    <mergeCell ref="R21:S21"/>
    <mergeCell ref="R22:S22"/>
    <mergeCell ref="R24:S24"/>
    <mergeCell ref="C1:E1"/>
    <mergeCell ref="I1:O2"/>
    <mergeCell ref="U3:W3"/>
    <mergeCell ref="T4:V4"/>
    <mergeCell ref="W4:X4"/>
    <mergeCell ref="T5:V6"/>
    <mergeCell ref="R20:S20"/>
  </mergeCells>
  <dataValidations count="1">
    <dataValidation type="custom" allowBlank="1" showErrorMessage="1" sqref="B19 S19" xr:uid="{00000000-0002-0000-0100-000000000000}">
      <formula1>(B18*60)/B17</formula1>
    </dataValidation>
  </dataValidations>
  <pageMargins left="0.23622047244094491" right="0.23622047244094491" top="0.74803149606299213" bottom="0.74803149606299213" header="0" footer="0"/>
  <pageSetup scale="5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Jesús Martín Vallejo Navarrete</cp:lastModifiedBy>
  <cp:lastPrinted>2025-12-15T23:47:48Z</cp:lastPrinted>
  <dcterms:created xsi:type="dcterms:W3CDTF">2023-10-31T20:19:37Z</dcterms:created>
  <dcterms:modified xsi:type="dcterms:W3CDTF">2025-12-15T23:48:07Z</dcterms:modified>
</cp:coreProperties>
</file>