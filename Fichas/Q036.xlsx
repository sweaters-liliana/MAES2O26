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DESAROLLOS 25\Q036 CROP TOP TEEN SIZADO CON PECHERA CANAL 2X2\"/>
    </mc:Choice>
  </mc:AlternateContent>
  <xr:revisionPtr revIDLastSave="0" documentId="8_{81BCB924-4BDE-4F2B-9D5F-8A78FB68920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  <sheet name="CONFECC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4" i="1" l="1"/>
  <c r="M14" i="1"/>
  <c r="J14" i="1"/>
  <c r="F3" i="2"/>
</calcChain>
</file>

<file path=xl/sharedStrings.xml><?xml version="1.0" encoding="utf-8"?>
<sst xmlns="http://schemas.openxmlformats.org/spreadsheetml/2006/main" count="95" uniqueCount="61">
  <si>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</si>
  <si>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</si>
  <si>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</si>
  <si>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</si>
  <si>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</si>
  <si>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</si>
  <si>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</si>
  <si>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</si>
  <si>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</si>
  <si>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</si>
  <si>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</si>
  <si>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</si>
  <si>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</si>
  <si>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</si>
  <si>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</si>
  <si>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</si>
  <si>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</si>
  <si>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</si>
  <si>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</si>
  <si>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20/70/68</t>
  </si>
  <si>
    <t>PESO +10%:</t>
  </si>
  <si>
    <t>CROP TOP</t>
  </si>
  <si>
    <t>CIXING</t>
  </si>
  <si>
    <t>#5</t>
  </si>
  <si>
    <r>
      <t xml:space="preserve">CROP TOP TEEN SIZADO CON PECHERA </t>
    </r>
    <r>
      <rPr>
        <u/>
        <sz val="26"/>
        <color rgb="FF000000"/>
        <rFont val="Consolas"/>
        <family val="3"/>
      </rPr>
      <t>CANAL 2X2</t>
    </r>
  </si>
  <si>
    <t>FICHA TECNICA</t>
  </si>
  <si>
    <t xml:space="preserve">MODELO  </t>
  </si>
  <si>
    <t>Q036</t>
  </si>
  <si>
    <t>DESCRIPCION:</t>
  </si>
  <si>
    <t>CROP TOP SISADO CON GOTA EN PECHO</t>
  </si>
  <si>
    <t>CORTE:</t>
  </si>
  <si>
    <t>SEPARA PECHERA</t>
  </si>
  <si>
    <t>COLLARETA:</t>
  </si>
  <si>
    <t>GOTA</t>
  </si>
  <si>
    <t>SISA</t>
  </si>
  <si>
    <t>RECTA:</t>
  </si>
  <si>
    <t>4 REMATES</t>
  </si>
  <si>
    <t>ETIQUETA</t>
  </si>
  <si>
    <t>TAMPOGRAFIA</t>
  </si>
  <si>
    <t>HOMBRO</t>
  </si>
  <si>
    <t>AREA HABILITACION:    DEGRAFILA</t>
  </si>
  <si>
    <t>FLATH:</t>
  </si>
  <si>
    <t>HOMBROS</t>
  </si>
  <si>
    <t>REMATADORA:</t>
  </si>
  <si>
    <t xml:space="preserve"> 6 REMATES</t>
  </si>
  <si>
    <t>AREA DE HABILITACION:   DESHEBRA</t>
  </si>
  <si>
    <t>DESARROLLO  :     OPTIMA</t>
  </si>
  <si>
    <t>cuello</t>
  </si>
  <si>
    <t>LICRA DUBAI</t>
  </si>
  <si>
    <t>GRANDE</t>
  </si>
  <si>
    <t>Q036B31G</t>
  </si>
  <si>
    <t>MEDIANA</t>
  </si>
  <si>
    <t>Q036B08M</t>
  </si>
  <si>
    <t>Q036B12C</t>
  </si>
  <si>
    <t>CHICA</t>
  </si>
  <si>
    <t>Q036B13C</t>
  </si>
  <si>
    <t>TOP2</t>
  </si>
  <si>
    <t>#7</t>
  </si>
  <si>
    <t>LICRA YUKI</t>
  </si>
  <si>
    <t>NONES</t>
  </si>
  <si>
    <t>PARES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</si>
</sst>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8"/>
      <name val="Calibri"/>
      <family val="2"/>
    </font>
    <font>
      <sz val="14"/>
      <color theme="1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18"/>
      <name val="Consolas"/>
      <family val="3"/>
    </font>
    <font>
      <sz val="16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u/>
      <sz val="26"/>
      <color rgb="FF000000"/>
      <name val="Consolas"/>
      <family val="3"/>
    </font>
    <font>
      <sz val="11"/>
      <color theme="1"/>
      <name val="Arial Black"/>
      <family val="2"/>
    </font>
    <font>
      <sz val="16"/>
      <color theme="1"/>
      <name val="Arial Black"/>
      <family val="2"/>
    </font>
    <font>
      <sz val="14"/>
      <color theme="1"/>
      <name val="Arial Black"/>
      <family val="2"/>
    </font>
    <font>
      <sz val="12"/>
      <color theme="1"/>
      <name val="Arial Black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24"/>
      <color theme="0"/>
      <name val="Bernard MT Condensed"/>
      <family val="1"/>
    </font>
    <font>
      <sz val="20"/>
      <color rgb="FF000000"/>
      <name val="Consolas"/>
      <family val="3"/>
    </font>
    <font>
      <sz val="8"/>
      <name val="Consolas"/>
      <family val="3"/>
    </font>
    <font>
      <b/>
      <sz val="20"/>
      <color theme="0"/>
      <name val="Consolas"/>
      <family val="3"/>
    </font>
    <font>
      <b/>
      <sz val="24"/>
      <color theme="0"/>
      <name val="Consolas"/>
      <family val="3"/>
    </font>
    <font>
      <b/>
      <sz val="16"/>
      <color theme="0"/>
      <name val="Consolas"/>
      <family val="3"/>
    </font>
    <font>
      <b/>
      <sz val="12"/>
      <color theme="0"/>
      <name val="Consolas"/>
      <family val="3"/>
    </font>
    <font>
      <b/>
      <sz val="18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rgb="FFFFFFCC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5" fillId="0" borderId="0" applyFont="0" applyFill="0" applyBorder="0" applyAlignment="0" applyProtection="0"/>
  </cellStyleXfs>
  <cellXfs count="125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17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1" fillId="2" borderId="3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27" fillId="2" borderId="2" xfId="0" applyNumberFormat="1" applyFont="1" applyFill="1" applyBorder="1" applyAlignment="1">
      <alignment horizontal="center" vertical="center" wrapText="1"/>
    </xf>
    <xf numFmtId="46" fontId="27" fillId="2" borderId="4" xfId="0" applyNumberFormat="1" applyFont="1" applyFill="1" applyBorder="1" applyAlignment="1">
      <alignment horizontal="center" vertical="center" wrapText="1"/>
    </xf>
    <xf numFmtId="0" fontId="29" fillId="10" borderId="5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 wrapText="1"/>
    </xf>
    <xf numFmtId="0" fontId="29" fillId="10" borderId="2" xfId="0" applyFont="1" applyFill="1" applyBorder="1" applyAlignment="1">
      <alignment horizontal="center" vertical="center" wrapText="1"/>
    </xf>
    <xf numFmtId="0" fontId="29" fillId="10" borderId="6" xfId="0" applyFont="1" applyFill="1" applyBorder="1" applyAlignment="1">
      <alignment horizontal="center" vertical="center" wrapText="1"/>
    </xf>
    <xf numFmtId="0" fontId="29" fillId="10" borderId="3" xfId="0" applyFont="1" applyFill="1" applyBorder="1" applyAlignment="1">
      <alignment horizontal="center" vertical="center" wrapText="1"/>
    </xf>
    <xf numFmtId="0" fontId="29" fillId="10" borderId="4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31" fillId="4" borderId="16" xfId="0" applyFont="1" applyFill="1" applyBorder="1" applyAlignment="1">
      <alignment horizontal="right" vertical="center"/>
    </xf>
    <xf numFmtId="0" fontId="31" fillId="4" borderId="13" xfId="0" applyFont="1" applyFill="1" applyBorder="1" applyAlignment="1">
      <alignment horizontal="right" vertical="center"/>
    </xf>
    <xf numFmtId="0" fontId="31" fillId="4" borderId="16" xfId="0" applyFont="1" applyFill="1" applyBorder="1" applyAlignment="1">
      <alignment horizontal="right" vertical="center" wrapText="1"/>
    </xf>
    <xf numFmtId="0" fontId="31" fillId="4" borderId="13" xfId="0" applyFont="1" applyFill="1" applyBorder="1" applyAlignment="1">
      <alignment horizontal="right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8" fillId="5" borderId="5" xfId="0" applyFont="1" applyFill="1" applyBorder="1" applyAlignment="1">
      <alignment horizontal="center" vertical="center" wrapText="1"/>
    </xf>
    <xf numFmtId="0" fontId="28" fillId="5" borderId="8" xfId="0" applyFont="1" applyFill="1" applyBorder="1" applyAlignment="1">
      <alignment horizontal="center" vertical="center" wrapText="1"/>
    </xf>
    <xf numFmtId="0" fontId="28" fillId="5" borderId="6" xfId="0" applyFont="1" applyFill="1" applyBorder="1" applyAlignment="1">
      <alignment horizontal="center" vertical="center" wrapText="1"/>
    </xf>
    <xf numFmtId="0" fontId="28" fillId="5" borderId="9" xfId="0" applyFont="1" applyFill="1" applyBorder="1" applyAlignment="1">
      <alignment horizontal="center" vertical="center" wrapText="1"/>
    </xf>
    <xf numFmtId="9" fontId="30" fillId="7" borderId="5" xfId="3" applyFont="1" applyFill="1" applyBorder="1" applyAlignment="1">
      <alignment horizontal="center" vertical="center" wrapText="1"/>
    </xf>
    <xf numFmtId="9" fontId="30" fillId="7" borderId="8" xfId="3" applyFont="1" applyFill="1" applyBorder="1" applyAlignment="1">
      <alignment horizontal="center" vertical="center" wrapText="1"/>
    </xf>
    <xf numFmtId="9" fontId="30" fillId="7" borderId="6" xfId="3" applyFont="1" applyFill="1" applyBorder="1" applyAlignment="1">
      <alignment horizontal="center" vertical="center" wrapText="1"/>
    </xf>
    <xf numFmtId="9" fontId="30" fillId="7" borderId="9" xfId="3" applyFont="1" applyFill="1" applyBorder="1" applyAlignment="1">
      <alignment horizontal="center" vertical="center" wrapText="1"/>
    </xf>
    <xf numFmtId="0" fontId="30" fillId="4" borderId="5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30" fillId="4" borderId="2" xfId="0" applyFont="1" applyFill="1" applyBorder="1" applyAlignment="1">
      <alignment horizontal="center" vertical="center" wrapText="1"/>
    </xf>
    <xf numFmtId="0" fontId="30" fillId="4" borderId="6" xfId="0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center" vertical="center" wrapText="1"/>
    </xf>
    <xf numFmtId="0" fontId="30" fillId="4" borderId="4" xfId="0" applyFont="1" applyFill="1" applyBorder="1" applyAlignment="1">
      <alignment horizontal="center" vertical="center" wrapText="1"/>
    </xf>
    <xf numFmtId="0" fontId="28" fillId="10" borderId="10" xfId="0" applyFont="1" applyFill="1" applyBorder="1" applyAlignment="1">
      <alignment horizontal="center" vertical="center" wrapText="1"/>
    </xf>
    <xf numFmtId="0" fontId="28" fillId="10" borderId="0" xfId="0" applyFont="1" applyFill="1" applyAlignment="1">
      <alignment horizontal="center" vertical="center" wrapText="1"/>
    </xf>
    <xf numFmtId="0" fontId="28" fillId="10" borderId="6" xfId="0" applyFont="1" applyFill="1" applyBorder="1" applyAlignment="1">
      <alignment horizontal="center" vertical="center" wrapText="1"/>
    </xf>
    <xf numFmtId="0" fontId="28" fillId="10" borderId="3" xfId="0" applyFont="1" applyFill="1" applyBorder="1" applyAlignment="1">
      <alignment horizontal="center" vertical="center" wrapText="1"/>
    </xf>
    <xf numFmtId="0" fontId="29" fillId="8" borderId="5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29" fillId="8" borderId="2" xfId="0" applyFont="1" applyFill="1" applyBorder="1" applyAlignment="1">
      <alignment horizontal="center" vertical="center" wrapText="1"/>
    </xf>
    <xf numFmtId="0" fontId="29" fillId="8" borderId="6" xfId="0" applyFont="1" applyFill="1" applyBorder="1" applyAlignment="1">
      <alignment horizontal="center" vertical="center" wrapText="1"/>
    </xf>
    <xf numFmtId="0" fontId="29" fillId="8" borderId="3" xfId="0" applyFont="1" applyFill="1" applyBorder="1" applyAlignment="1">
      <alignment horizontal="center" vertical="center" wrapText="1"/>
    </xf>
    <xf numFmtId="0" fontId="29" fillId="8" borderId="4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4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45" fontId="13" fillId="2" borderId="5" xfId="0" applyNumberFormat="1" applyFont="1" applyFill="1" applyBorder="1" applyAlignment="1">
      <alignment horizontal="center" vertical="center" wrapText="1"/>
    </xf>
    <xf numFmtId="45" fontId="13" fillId="2" borderId="1" xfId="0" applyNumberFormat="1" applyFont="1" applyFill="1" applyBorder="1" applyAlignment="1">
      <alignment horizontal="center" vertical="center" wrapText="1"/>
    </xf>
    <xf numFmtId="45" fontId="13" fillId="2" borderId="6" xfId="0" applyNumberFormat="1" applyFont="1" applyFill="1" applyBorder="1" applyAlignment="1">
      <alignment horizontal="center" vertical="center" wrapText="1"/>
    </xf>
    <xf numFmtId="45" fontId="13" fillId="2" borderId="3" xfId="0" applyNumberFormat="1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164" fontId="13" fillId="2" borderId="5" xfId="0" applyNumberFormat="1" applyFont="1" applyFill="1" applyBorder="1" applyAlignment="1">
      <alignment horizontal="center" vertical="center" wrapText="1"/>
    </xf>
    <xf numFmtId="164" fontId="13" fillId="2" borderId="1" xfId="0" applyNumberFormat="1" applyFont="1" applyFill="1" applyBorder="1" applyAlignment="1">
      <alignment horizontal="center" vertical="center" wrapText="1"/>
    </xf>
    <xf numFmtId="164" fontId="13" fillId="2" borderId="6" xfId="0" applyNumberFormat="1" applyFont="1" applyFill="1" applyBorder="1" applyAlignment="1">
      <alignment horizontal="center" vertical="center" wrapText="1"/>
    </xf>
    <xf numFmtId="164" fontId="13" fillId="2" borderId="3" xfId="0" applyNumberFormat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4" fontId="12" fillId="2" borderId="5" xfId="0" applyNumberFormat="1" applyFont="1" applyFill="1" applyBorder="1" applyAlignment="1">
      <alignment horizontal="center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164" fontId="12" fillId="2" borderId="6" xfId="0" applyNumberFormat="1" applyFont="1" applyFill="1" applyBorder="1" applyAlignment="1">
      <alignment horizontal="center" vertical="center" wrapText="1"/>
    </xf>
    <xf numFmtId="164" fontId="12" fillId="2" borderId="3" xfId="0" applyNumberFormat="1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25" fillId="9" borderId="0" xfId="0" applyFont="1" applyFill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3</xdr:row>
      <xdr:rowOff>219075</xdr:rowOff>
    </xdr:from>
    <xdr:to>
      <xdr:col>3</xdr:col>
      <xdr:colOff>686420</xdr:colOff>
      <xdr:row>12</xdr:row>
      <xdr:rowOff>14625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3B3D195-F67D-49D7-812A-6C82A661B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1" r="1411"/>
        <a:stretch/>
      </xdr:blipFill>
      <xdr:spPr>
        <a:xfrm>
          <a:off x="66676" y="781050"/>
          <a:ext cx="1457944" cy="18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142875</xdr:colOff>
      <xdr:row>0</xdr:row>
      <xdr:rowOff>19050</xdr:rowOff>
    </xdr:from>
    <xdr:to>
      <xdr:col>9</xdr:col>
      <xdr:colOff>704850</xdr:colOff>
      <xdr:row>18</xdr:row>
      <xdr:rowOff>159808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CA04F7-1F12-6A74-7189-C9BFFF00A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19050"/>
          <a:ext cx="2847975" cy="4703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0"/>
  <sheetViews>
    <sheetView showGridLines="0" tabSelected="1" topLeftCell="B1" zoomScaleNormal="100" workbookViewId="0">
      <selection activeCell="B18" sqref="B18:R19"/>
    </sheetView>
  </sheetViews>
  <sheetFormatPr baseColWidth="10" defaultColWidth="14.42578125" defaultRowHeight="15" x14ac:dyDescent="0.25"/>
  <cols>
    <col min="1" max="1" width="0.5703125" hidden="1" customWidth="1"/>
    <col min="2" max="2" width="6.7109375" customWidth="1"/>
    <col min="3" max="3" width="5.28515625" customWidth="1"/>
    <col min="4" max="4" width="10.7109375" customWidth="1"/>
    <col min="5" max="5" width="5.28515625" customWidth="1"/>
    <col min="6" max="6" width="6.28515625" customWidth="1"/>
    <col min="7" max="7" width="9.7109375" customWidth="1"/>
    <col min="8" max="8" width="6.7109375" customWidth="1"/>
    <col min="9" max="9" width="3.7109375" customWidth="1"/>
    <col min="10" max="10" width="9.7109375" customWidth="1"/>
    <col min="11" max="11" width="6.7109375" customWidth="1"/>
    <col min="12" max="12" width="3.7109375" customWidth="1"/>
    <col min="13" max="13" width="9.7109375" customWidth="1"/>
    <col min="14" max="14" width="6.7109375" customWidth="1"/>
    <col min="15" max="15" width="3.7109375" customWidth="1"/>
    <col min="16" max="16" width="9.7109375" customWidth="1"/>
    <col min="17" max="17" width="6.7109375" customWidth="1"/>
    <col min="18" max="18" width="3.7109375" customWidth="1"/>
  </cols>
  <sheetData>
    <row r="1" spans="1:18" ht="2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95" customHeight="1" x14ac:dyDescent="0.25">
      <c r="B2" s="69" t="s">
        <v>1</v>
      </c>
      <c r="C2" s="70"/>
      <c r="D2" s="71"/>
      <c r="E2" s="85" t="s">
        <v>2</v>
      </c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6"/>
    </row>
    <row r="3" spans="1:18" ht="15.95" customHeight="1" thickBot="1" x14ac:dyDescent="0.3">
      <c r="B3" s="72"/>
      <c r="C3" s="73"/>
      <c r="D3" s="74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8"/>
    </row>
    <row r="4" spans="1:18" ht="21" customHeight="1" x14ac:dyDescent="0.25">
      <c r="B4" s="2"/>
      <c r="C4" s="5"/>
      <c r="D4" s="6"/>
      <c r="E4" s="107" t="s">
        <v>24</v>
      </c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9"/>
    </row>
    <row r="5" spans="1:18" ht="19.5" customHeight="1" x14ac:dyDescent="0.25">
      <c r="B5" s="2"/>
      <c r="C5" s="5"/>
      <c r="D5" s="7"/>
      <c r="E5" s="110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2"/>
    </row>
    <row r="6" spans="1:18" ht="15" customHeight="1" x14ac:dyDescent="0.25">
      <c r="B6" s="2"/>
      <c r="C6" s="5"/>
      <c r="D6" s="7"/>
      <c r="E6" s="110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2"/>
    </row>
    <row r="7" spans="1:18" ht="21.75" customHeight="1" thickBot="1" x14ac:dyDescent="0.3">
      <c r="B7" s="2"/>
      <c r="C7" s="5"/>
      <c r="D7" s="7"/>
      <c r="E7" s="113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5"/>
    </row>
    <row r="8" spans="1:18" ht="20.100000000000001" customHeight="1" thickBot="1" x14ac:dyDescent="0.3">
      <c r="B8" s="2"/>
      <c r="C8" s="5"/>
      <c r="D8" s="7"/>
      <c r="E8" s="55" t="s">
        <v>4</v>
      </c>
      <c r="F8" s="56"/>
      <c r="G8" s="97" t="s">
        <v>54</v>
      </c>
      <c r="H8" s="98"/>
      <c r="I8" s="99"/>
      <c r="J8" s="97" t="s">
        <v>54</v>
      </c>
      <c r="K8" s="98"/>
      <c r="L8" s="99"/>
      <c r="M8" s="97" t="s">
        <v>51</v>
      </c>
      <c r="N8" s="98"/>
      <c r="O8" s="99"/>
      <c r="P8" s="97" t="s">
        <v>49</v>
      </c>
      <c r="Q8" s="98"/>
      <c r="R8" s="99"/>
    </row>
    <row r="9" spans="1:18" ht="20.100000000000001" customHeight="1" thickBot="1" x14ac:dyDescent="0.3">
      <c r="B9" s="2"/>
      <c r="C9" s="5"/>
      <c r="D9" s="7"/>
      <c r="E9" s="55"/>
      <c r="F9" s="56"/>
      <c r="G9" s="100"/>
      <c r="H9" s="101"/>
      <c r="I9" s="102"/>
      <c r="J9" s="100"/>
      <c r="K9" s="101"/>
      <c r="L9" s="102"/>
      <c r="M9" s="100"/>
      <c r="N9" s="101"/>
      <c r="O9" s="102"/>
      <c r="P9" s="100"/>
      <c r="Q9" s="101"/>
      <c r="R9" s="102"/>
    </row>
    <row r="10" spans="1:18" ht="15.95" customHeight="1" thickBot="1" x14ac:dyDescent="0.3">
      <c r="B10" s="2"/>
      <c r="C10" s="5"/>
      <c r="D10" s="7"/>
      <c r="E10" s="55" t="s">
        <v>3</v>
      </c>
      <c r="F10" s="56"/>
      <c r="G10" s="27" t="s">
        <v>21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9"/>
    </row>
    <row r="11" spans="1:18" ht="15.95" customHeight="1" thickBot="1" x14ac:dyDescent="0.3">
      <c r="B11" s="2"/>
      <c r="C11" s="5"/>
      <c r="D11" s="7"/>
      <c r="E11" s="55"/>
      <c r="F11" s="56"/>
      <c r="G11" s="30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2"/>
    </row>
    <row r="12" spans="1:18" ht="15.95" customHeight="1" thickBot="1" x14ac:dyDescent="0.3">
      <c r="B12" s="2"/>
      <c r="C12" s="5"/>
      <c r="D12" s="7"/>
      <c r="E12" s="53" t="s">
        <v>5</v>
      </c>
      <c r="F12" s="54"/>
      <c r="G12" s="27" t="s">
        <v>53</v>
      </c>
      <c r="H12" s="28"/>
      <c r="I12" s="29"/>
      <c r="J12" s="27" t="s">
        <v>55</v>
      </c>
      <c r="K12" s="28"/>
      <c r="L12" s="29"/>
      <c r="M12" s="27" t="s">
        <v>52</v>
      </c>
      <c r="N12" s="28"/>
      <c r="O12" s="29"/>
      <c r="P12" s="27" t="s">
        <v>50</v>
      </c>
      <c r="Q12" s="28"/>
      <c r="R12" s="29"/>
    </row>
    <row r="13" spans="1:18" ht="15.95" customHeight="1" thickBot="1" x14ac:dyDescent="0.3">
      <c r="B13" s="2"/>
      <c r="C13" s="5"/>
      <c r="D13" s="7"/>
      <c r="E13" s="53"/>
      <c r="F13" s="54"/>
      <c r="G13" s="30"/>
      <c r="H13" s="31"/>
      <c r="I13" s="32"/>
      <c r="J13" s="30"/>
      <c r="K13" s="31"/>
      <c r="L13" s="32"/>
      <c r="M13" s="30"/>
      <c r="N13" s="31"/>
      <c r="O13" s="32"/>
      <c r="P13" s="30"/>
      <c r="Q13" s="31"/>
      <c r="R13" s="32"/>
    </row>
    <row r="14" spans="1:18" ht="15.95" customHeight="1" thickBot="1" x14ac:dyDescent="0.3">
      <c r="B14" s="2"/>
      <c r="C14" s="5"/>
      <c r="D14" s="7"/>
      <c r="E14" s="55" t="s">
        <v>20</v>
      </c>
      <c r="F14" s="56"/>
      <c r="G14" s="103"/>
      <c r="H14" s="104"/>
      <c r="I14" s="95" t="s">
        <v>6</v>
      </c>
      <c r="J14" s="116">
        <f>90*110%</f>
        <v>99.000000000000014</v>
      </c>
      <c r="K14" s="117"/>
      <c r="L14" s="95" t="s">
        <v>6</v>
      </c>
      <c r="M14" s="103">
        <f>98*110%</f>
        <v>107.80000000000001</v>
      </c>
      <c r="N14" s="104"/>
      <c r="O14" s="95" t="s">
        <v>6</v>
      </c>
      <c r="P14" s="103">
        <f>107*110%</f>
        <v>117.7</v>
      </c>
      <c r="Q14" s="104"/>
      <c r="R14" s="95" t="s">
        <v>6</v>
      </c>
    </row>
    <row r="15" spans="1:18" ht="15.95" customHeight="1" thickBot="1" x14ac:dyDescent="0.3">
      <c r="B15" s="2"/>
      <c r="C15" s="5"/>
      <c r="D15" s="7"/>
      <c r="E15" s="55"/>
      <c r="F15" s="56"/>
      <c r="G15" s="105"/>
      <c r="H15" s="106"/>
      <c r="I15" s="96"/>
      <c r="J15" s="118"/>
      <c r="K15" s="119"/>
      <c r="L15" s="96"/>
      <c r="M15" s="105"/>
      <c r="N15" s="106"/>
      <c r="O15" s="96"/>
      <c r="P15" s="105"/>
      <c r="Q15" s="106"/>
      <c r="R15" s="96"/>
    </row>
    <row r="16" spans="1:18" ht="15.95" customHeight="1" thickBot="1" x14ac:dyDescent="0.3">
      <c r="B16" s="2"/>
      <c r="C16" s="5"/>
      <c r="D16" s="7"/>
      <c r="E16" s="55" t="s">
        <v>7</v>
      </c>
      <c r="F16" s="56"/>
      <c r="G16" s="91">
        <v>2.9398148148148148E-3</v>
      </c>
      <c r="H16" s="92"/>
      <c r="I16" s="33" t="s">
        <v>8</v>
      </c>
      <c r="J16" s="91">
        <v>3.2175925925925926E-3</v>
      </c>
      <c r="K16" s="92"/>
      <c r="L16" s="33" t="s">
        <v>8</v>
      </c>
      <c r="M16" s="91">
        <v>2.9050925925925928E-3</v>
      </c>
      <c r="N16" s="92"/>
      <c r="O16" s="33" t="s">
        <v>8</v>
      </c>
      <c r="P16" s="91">
        <v>0.50314814814814812</v>
      </c>
      <c r="Q16" s="92"/>
      <c r="R16" s="33" t="s">
        <v>8</v>
      </c>
    </row>
    <row r="17" spans="2:18" ht="15.95" customHeight="1" thickBot="1" x14ac:dyDescent="0.3">
      <c r="B17" s="3"/>
      <c r="C17" s="4"/>
      <c r="D17" s="8"/>
      <c r="E17" s="55"/>
      <c r="F17" s="56"/>
      <c r="G17" s="93"/>
      <c r="H17" s="94"/>
      <c r="I17" s="34"/>
      <c r="J17" s="93"/>
      <c r="K17" s="94"/>
      <c r="L17" s="34"/>
      <c r="M17" s="93"/>
      <c r="N17" s="94"/>
      <c r="O17" s="34"/>
      <c r="P17" s="93"/>
      <c r="Q17" s="94"/>
      <c r="R17" s="34"/>
    </row>
    <row r="18" spans="2:18" ht="15.95" customHeight="1" x14ac:dyDescent="0.25">
      <c r="B18" s="79" t="s">
        <v>13</v>
      </c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1"/>
    </row>
    <row r="19" spans="2:18" ht="15.95" customHeight="1" thickBot="1" x14ac:dyDescent="0.3">
      <c r="B19" s="82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4"/>
    </row>
    <row r="20" spans="2:18" ht="9.75" customHeight="1" x14ac:dyDescent="0.25">
      <c r="B20" s="75" t="s">
        <v>15</v>
      </c>
      <c r="C20" s="76"/>
      <c r="D20" s="76"/>
      <c r="E20" s="76"/>
      <c r="F20" s="76"/>
      <c r="G20" s="35" t="s">
        <v>56</v>
      </c>
      <c r="H20" s="36"/>
      <c r="I20" s="37"/>
      <c r="J20" s="35" t="s">
        <v>56</v>
      </c>
      <c r="K20" s="36"/>
      <c r="L20" s="37"/>
      <c r="M20" s="35" t="s">
        <v>56</v>
      </c>
      <c r="N20" s="36"/>
      <c r="O20" s="37"/>
      <c r="P20" s="35" t="s">
        <v>22</v>
      </c>
      <c r="Q20" s="36"/>
      <c r="R20" s="37"/>
    </row>
    <row r="21" spans="2:18" ht="25.5" customHeight="1" thickBot="1" x14ac:dyDescent="0.3">
      <c r="B21" s="77"/>
      <c r="C21" s="78"/>
      <c r="D21" s="78"/>
      <c r="E21" s="78"/>
      <c r="F21" s="78"/>
      <c r="G21" s="38"/>
      <c r="H21" s="39"/>
      <c r="I21" s="40"/>
      <c r="J21" s="38"/>
      <c r="K21" s="39"/>
      <c r="L21" s="40"/>
      <c r="M21" s="38"/>
      <c r="N21" s="39"/>
      <c r="O21" s="40"/>
      <c r="P21" s="38"/>
      <c r="Q21" s="39"/>
      <c r="R21" s="40"/>
    </row>
    <row r="22" spans="2:18" ht="17.25" customHeight="1" x14ac:dyDescent="0.25">
      <c r="B22" s="61" t="s">
        <v>11</v>
      </c>
      <c r="C22" s="62"/>
      <c r="D22" s="89" t="s">
        <v>9</v>
      </c>
      <c r="E22" s="89"/>
      <c r="F22" s="89"/>
      <c r="G22" s="41" t="s">
        <v>16</v>
      </c>
      <c r="H22" s="43" t="s">
        <v>14</v>
      </c>
      <c r="I22" s="44"/>
      <c r="J22" s="41" t="s">
        <v>16</v>
      </c>
      <c r="K22" s="43" t="s">
        <v>14</v>
      </c>
      <c r="L22" s="44"/>
      <c r="M22" s="41" t="s">
        <v>16</v>
      </c>
      <c r="N22" s="43" t="s">
        <v>14</v>
      </c>
      <c r="O22" s="44"/>
      <c r="P22" s="41" t="s">
        <v>16</v>
      </c>
      <c r="Q22" s="43" t="s">
        <v>14</v>
      </c>
      <c r="R22" s="44"/>
    </row>
    <row r="23" spans="2:18" ht="15.95" customHeight="1" thickBot="1" x14ac:dyDescent="0.3">
      <c r="B23" s="63"/>
      <c r="C23" s="64"/>
      <c r="D23" s="90"/>
      <c r="E23" s="90"/>
      <c r="F23" s="90"/>
      <c r="G23" s="42"/>
      <c r="H23" s="45"/>
      <c r="I23" s="46"/>
      <c r="J23" s="42"/>
      <c r="K23" s="45"/>
      <c r="L23" s="46"/>
      <c r="M23" s="42"/>
      <c r="N23" s="45"/>
      <c r="O23" s="46"/>
      <c r="P23" s="42"/>
      <c r="Q23" s="45"/>
      <c r="R23" s="46"/>
    </row>
    <row r="24" spans="2:18" ht="15.95" customHeight="1" x14ac:dyDescent="0.25">
      <c r="B24" s="65">
        <v>0.27</v>
      </c>
      <c r="C24" s="66"/>
      <c r="D24" s="59" t="s">
        <v>48</v>
      </c>
      <c r="E24" s="60"/>
      <c r="F24" s="60"/>
      <c r="G24" s="21" t="s">
        <v>18</v>
      </c>
      <c r="H24" s="47" t="s">
        <v>59</v>
      </c>
      <c r="I24" s="48"/>
      <c r="J24" s="21" t="s">
        <v>18</v>
      </c>
      <c r="K24" s="47" t="s">
        <v>59</v>
      </c>
      <c r="L24" s="48"/>
      <c r="M24" s="21" t="s">
        <v>18</v>
      </c>
      <c r="N24" s="47" t="s">
        <v>59</v>
      </c>
      <c r="O24" s="48"/>
      <c r="P24" s="21" t="s">
        <v>18</v>
      </c>
      <c r="Q24" s="47" t="s">
        <v>59</v>
      </c>
      <c r="R24" s="48"/>
    </row>
    <row r="25" spans="2:18" ht="15.95" customHeight="1" thickBot="1" x14ac:dyDescent="0.3">
      <c r="B25" s="67"/>
      <c r="C25" s="68"/>
      <c r="D25" s="57" t="s">
        <v>19</v>
      </c>
      <c r="E25" s="58"/>
      <c r="F25" s="58"/>
      <c r="G25" s="22"/>
      <c r="H25" s="49"/>
      <c r="I25" s="50"/>
      <c r="J25" s="22"/>
      <c r="K25" s="49"/>
      <c r="L25" s="50"/>
      <c r="M25" s="22"/>
      <c r="N25" s="49"/>
      <c r="O25" s="50"/>
      <c r="P25" s="22"/>
      <c r="Q25" s="49"/>
      <c r="R25" s="50"/>
    </row>
    <row r="26" spans="2:18" ht="15.95" customHeight="1" x14ac:dyDescent="0.25">
      <c r="B26" s="65">
        <v>0.27</v>
      </c>
      <c r="C26" s="66"/>
      <c r="D26" s="59" t="s">
        <v>58</v>
      </c>
      <c r="E26" s="60"/>
      <c r="F26" s="60"/>
      <c r="G26" s="21" t="s">
        <v>18</v>
      </c>
      <c r="H26" s="47" t="s">
        <v>60</v>
      </c>
      <c r="I26" s="48"/>
      <c r="J26" s="21" t="s">
        <v>18</v>
      </c>
      <c r="K26" s="47" t="s">
        <v>60</v>
      </c>
      <c r="L26" s="48"/>
      <c r="M26" s="21" t="s">
        <v>18</v>
      </c>
      <c r="N26" s="47" t="s">
        <v>60</v>
      </c>
      <c r="O26" s="48"/>
      <c r="P26" s="21" t="s">
        <v>18</v>
      </c>
      <c r="Q26" s="47" t="s">
        <v>60</v>
      </c>
      <c r="R26" s="48"/>
    </row>
    <row r="27" spans="2:18" ht="15.95" customHeight="1" thickBot="1" x14ac:dyDescent="0.3">
      <c r="B27" s="67"/>
      <c r="C27" s="68"/>
      <c r="D27" s="57" t="s">
        <v>19</v>
      </c>
      <c r="E27" s="58"/>
      <c r="F27" s="58"/>
      <c r="G27" s="22"/>
      <c r="H27" s="49"/>
      <c r="I27" s="50"/>
      <c r="J27" s="22"/>
      <c r="K27" s="49"/>
      <c r="L27" s="50"/>
      <c r="M27" s="22"/>
      <c r="N27" s="49"/>
      <c r="O27" s="50"/>
      <c r="P27" s="22"/>
      <c r="Q27" s="49"/>
      <c r="R27" s="50"/>
    </row>
    <row r="28" spans="2:18" ht="15.95" customHeight="1" x14ac:dyDescent="0.25">
      <c r="B28" s="65">
        <v>0.46</v>
      </c>
      <c r="C28" s="66"/>
      <c r="D28" s="59" t="s">
        <v>17</v>
      </c>
      <c r="E28" s="60"/>
      <c r="F28" s="60"/>
      <c r="G28" s="21" t="s">
        <v>57</v>
      </c>
      <c r="H28" s="23" t="s">
        <v>10</v>
      </c>
      <c r="I28" s="24"/>
      <c r="J28" s="21" t="s">
        <v>57</v>
      </c>
      <c r="K28" s="23" t="s">
        <v>10</v>
      </c>
      <c r="L28" s="24"/>
      <c r="M28" s="21" t="s">
        <v>23</v>
      </c>
      <c r="N28" s="23" t="s">
        <v>10</v>
      </c>
      <c r="O28" s="24"/>
      <c r="P28" s="21" t="s">
        <v>23</v>
      </c>
      <c r="Q28" s="23" t="s">
        <v>10</v>
      </c>
      <c r="R28" s="24"/>
    </row>
    <row r="29" spans="2:18" ht="15.95" customHeight="1" thickBot="1" x14ac:dyDescent="0.3">
      <c r="B29" s="67"/>
      <c r="C29" s="68"/>
      <c r="D29" s="57" t="s">
        <v>12</v>
      </c>
      <c r="E29" s="58"/>
      <c r="F29" s="58"/>
      <c r="G29" s="22"/>
      <c r="H29" s="25"/>
      <c r="I29" s="26"/>
      <c r="J29" s="22"/>
      <c r="K29" s="25"/>
      <c r="L29" s="26"/>
      <c r="M29" s="22"/>
      <c r="N29" s="25"/>
      <c r="O29" s="26"/>
      <c r="P29" s="22"/>
      <c r="Q29" s="25"/>
      <c r="R29" s="26"/>
    </row>
    <row r="30" spans="2:18" ht="15.75" customHeight="1" x14ac:dyDescent="0.25">
      <c r="B30" s="120"/>
      <c r="C30" s="121"/>
      <c r="D30" s="59"/>
      <c r="E30" s="60"/>
      <c r="F30" s="60"/>
      <c r="G30" s="21"/>
      <c r="H30" s="23"/>
      <c r="I30" s="24"/>
      <c r="J30" s="51"/>
      <c r="K30" s="47"/>
      <c r="L30" s="48"/>
      <c r="M30" s="21"/>
      <c r="N30" s="23"/>
      <c r="O30" s="24"/>
      <c r="P30" s="51"/>
      <c r="Q30" s="47"/>
      <c r="R30" s="48"/>
    </row>
    <row r="31" spans="2:18" ht="15.75" customHeight="1" thickBot="1" x14ac:dyDescent="0.3">
      <c r="B31" s="122"/>
      <c r="C31" s="123"/>
      <c r="D31" s="57"/>
      <c r="E31" s="58"/>
      <c r="F31" s="58"/>
      <c r="G31" s="22"/>
      <c r="H31" s="25"/>
      <c r="I31" s="26"/>
      <c r="J31" s="52"/>
      <c r="K31" s="49"/>
      <c r="L31" s="50"/>
      <c r="M31" s="22"/>
      <c r="N31" s="25"/>
      <c r="O31" s="26"/>
      <c r="P31" s="52"/>
      <c r="Q31" s="49"/>
      <c r="R31" s="50"/>
    </row>
    <row r="32" spans="2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</sheetData>
  <mergeCells count="93">
    <mergeCell ref="B28:C29"/>
    <mergeCell ref="B30:C31"/>
    <mergeCell ref="G24:G25"/>
    <mergeCell ref="H24:I25"/>
    <mergeCell ref="D25:F25"/>
    <mergeCell ref="G30:G31"/>
    <mergeCell ref="H30:I31"/>
    <mergeCell ref="D30:F30"/>
    <mergeCell ref="B26:C27"/>
    <mergeCell ref="D31:F31"/>
    <mergeCell ref="D26:F26"/>
    <mergeCell ref="G26:G27"/>
    <mergeCell ref="G28:G29"/>
    <mergeCell ref="E4:R7"/>
    <mergeCell ref="J24:J25"/>
    <mergeCell ref="K24:L25"/>
    <mergeCell ref="P24:P25"/>
    <mergeCell ref="Q24:R25"/>
    <mergeCell ref="P16:Q17"/>
    <mergeCell ref="Q22:R23"/>
    <mergeCell ref="I14:I15"/>
    <mergeCell ref="G20:I21"/>
    <mergeCell ref="G12:I13"/>
    <mergeCell ref="J12:L13"/>
    <mergeCell ref="G14:H15"/>
    <mergeCell ref="J14:K15"/>
    <mergeCell ref="P14:Q15"/>
    <mergeCell ref="P12:R13"/>
    <mergeCell ref="P8:R9"/>
    <mergeCell ref="R14:R15"/>
    <mergeCell ref="L14:L15"/>
    <mergeCell ref="G8:I9"/>
    <mergeCell ref="J8:L9"/>
    <mergeCell ref="M8:O9"/>
    <mergeCell ref="M12:O13"/>
    <mergeCell ref="M14:N15"/>
    <mergeCell ref="O14:O15"/>
    <mergeCell ref="M26:M27"/>
    <mergeCell ref="N26:O27"/>
    <mergeCell ref="M28:M29"/>
    <mergeCell ref="N28:O29"/>
    <mergeCell ref="I16:I17"/>
    <mergeCell ref="M16:N17"/>
    <mergeCell ref="H26:I27"/>
    <mergeCell ref="H28:I29"/>
    <mergeCell ref="B22:C23"/>
    <mergeCell ref="B24:C25"/>
    <mergeCell ref="D24:F24"/>
    <mergeCell ref="B2:D3"/>
    <mergeCell ref="B20:F21"/>
    <mergeCell ref="B18:R19"/>
    <mergeCell ref="E2:R3"/>
    <mergeCell ref="E8:F9"/>
    <mergeCell ref="E10:F11"/>
    <mergeCell ref="D22:F23"/>
    <mergeCell ref="G16:H17"/>
    <mergeCell ref="J16:K17"/>
    <mergeCell ref="E16:F17"/>
    <mergeCell ref="P22:P23"/>
    <mergeCell ref="P20:R21"/>
    <mergeCell ref="R16:R17"/>
    <mergeCell ref="P26:P27"/>
    <mergeCell ref="Q26:R27"/>
    <mergeCell ref="K28:L29"/>
    <mergeCell ref="E12:F13"/>
    <mergeCell ref="E14:F15"/>
    <mergeCell ref="J20:L21"/>
    <mergeCell ref="J22:J23"/>
    <mergeCell ref="K22:L23"/>
    <mergeCell ref="G22:G23"/>
    <mergeCell ref="H22:I23"/>
    <mergeCell ref="L16:L17"/>
    <mergeCell ref="P28:P29"/>
    <mergeCell ref="Q28:R29"/>
    <mergeCell ref="D27:F27"/>
    <mergeCell ref="D28:F28"/>
    <mergeCell ref="D29:F29"/>
    <mergeCell ref="M30:M31"/>
    <mergeCell ref="N30:O31"/>
    <mergeCell ref="G10:R11"/>
    <mergeCell ref="O16:O17"/>
    <mergeCell ref="M20:O21"/>
    <mergeCell ref="M22:M23"/>
    <mergeCell ref="N22:O23"/>
    <mergeCell ref="M24:M25"/>
    <mergeCell ref="N24:O25"/>
    <mergeCell ref="P30:P31"/>
    <mergeCell ref="Q30:R31"/>
    <mergeCell ref="J30:J31"/>
    <mergeCell ref="K30:L31"/>
    <mergeCell ref="J26:J27"/>
    <mergeCell ref="J28:J29"/>
    <mergeCell ref="K26:L27"/>
  </mergeCells>
  <phoneticPr fontId="5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8"/>
  <sheetViews>
    <sheetView topLeftCell="A3" workbookViewId="0">
      <selection activeCell="H25" sqref="H25"/>
    </sheetView>
  </sheetViews>
  <sheetFormatPr baseColWidth="10" defaultRowHeight="15" x14ac:dyDescent="0.25"/>
  <cols>
    <col min="1" max="1" width="19.140625" customWidth="1"/>
  </cols>
  <sheetData>
    <row r="2" spans="1:8" ht="24.75" x14ac:dyDescent="0.5">
      <c r="A2" s="10"/>
      <c r="B2" s="10" t="s">
        <v>25</v>
      </c>
      <c r="C2" s="10"/>
    </row>
    <row r="3" spans="1:8" ht="22.5" x14ac:dyDescent="0.45">
      <c r="A3" s="11" t="s">
        <v>46</v>
      </c>
      <c r="B3" s="11"/>
      <c r="C3" s="14"/>
      <c r="F3" s="124">
        <f>SUM(F6:F23)</f>
        <v>8.4</v>
      </c>
    </row>
    <row r="4" spans="1:8" ht="22.5" x14ac:dyDescent="0.45">
      <c r="A4" s="11" t="s">
        <v>26</v>
      </c>
      <c r="B4" s="11" t="s">
        <v>27</v>
      </c>
      <c r="C4" s="11"/>
      <c r="D4" s="11"/>
      <c r="E4" s="11"/>
      <c r="F4" s="124"/>
    </row>
    <row r="5" spans="1:8" ht="19.5" x14ac:dyDescent="0.4">
      <c r="A5" s="12" t="s">
        <v>28</v>
      </c>
      <c r="B5" s="12"/>
      <c r="C5" s="12" t="s">
        <v>29</v>
      </c>
      <c r="D5" s="12"/>
      <c r="E5" s="12"/>
      <c r="F5" s="12"/>
      <c r="G5" s="13"/>
      <c r="H5" s="13"/>
    </row>
    <row r="7" spans="1:8" ht="20.25" x14ac:dyDescent="0.4">
      <c r="A7" s="9" t="s">
        <v>30</v>
      </c>
      <c r="B7" s="9" t="s">
        <v>31</v>
      </c>
      <c r="C7" s="9"/>
      <c r="D7" s="9"/>
      <c r="E7" s="9"/>
      <c r="F7" s="15">
        <v>1</v>
      </c>
    </row>
    <row r="8" spans="1:8" ht="20.25" x14ac:dyDescent="0.4">
      <c r="A8" s="9"/>
      <c r="B8" s="9"/>
      <c r="C8" s="9"/>
      <c r="D8" s="9"/>
      <c r="E8" s="9"/>
      <c r="F8" s="16"/>
    </row>
    <row r="9" spans="1:8" ht="20.25" x14ac:dyDescent="0.4">
      <c r="A9" s="9" t="s">
        <v>32</v>
      </c>
      <c r="B9" s="9" t="s">
        <v>33</v>
      </c>
      <c r="C9" s="9"/>
      <c r="D9" s="9"/>
      <c r="E9" s="9"/>
      <c r="F9" s="15">
        <v>0.6</v>
      </c>
    </row>
    <row r="10" spans="1:8" ht="20.25" x14ac:dyDescent="0.4">
      <c r="A10" s="9"/>
      <c r="B10" s="9" t="s">
        <v>47</v>
      </c>
      <c r="C10" s="9"/>
      <c r="D10" s="9"/>
      <c r="E10" s="9"/>
      <c r="F10" s="15">
        <v>0.5</v>
      </c>
    </row>
    <row r="11" spans="1:8" ht="20.25" x14ac:dyDescent="0.4">
      <c r="A11" s="9"/>
      <c r="B11" s="9" t="s">
        <v>34</v>
      </c>
      <c r="C11" s="9"/>
      <c r="D11" s="9"/>
      <c r="E11" s="9"/>
      <c r="F11" s="15">
        <v>0.7</v>
      </c>
    </row>
    <row r="12" spans="1:8" ht="20.25" x14ac:dyDescent="0.4">
      <c r="A12" s="9"/>
      <c r="B12" s="9"/>
      <c r="C12" s="9"/>
      <c r="D12" s="9"/>
      <c r="E12" s="9"/>
      <c r="F12" s="16"/>
    </row>
    <row r="13" spans="1:8" ht="20.25" x14ac:dyDescent="0.4">
      <c r="A13" s="9" t="s">
        <v>35</v>
      </c>
      <c r="B13" s="9" t="s">
        <v>36</v>
      </c>
      <c r="C13" s="9"/>
      <c r="D13" s="9"/>
      <c r="E13" s="9"/>
      <c r="F13" s="15">
        <v>1</v>
      </c>
    </row>
    <row r="14" spans="1:8" ht="20.25" x14ac:dyDescent="0.4">
      <c r="A14" s="9"/>
      <c r="B14" s="9" t="s">
        <v>37</v>
      </c>
      <c r="C14" s="9"/>
      <c r="D14" s="9"/>
      <c r="E14" s="9"/>
      <c r="F14" s="15">
        <v>0.35</v>
      </c>
    </row>
    <row r="15" spans="1:8" ht="20.25" x14ac:dyDescent="0.4">
      <c r="A15" s="9"/>
      <c r="B15" s="9" t="s">
        <v>38</v>
      </c>
      <c r="C15" s="9"/>
      <c r="D15" s="9"/>
      <c r="E15" s="9"/>
      <c r="F15" s="15">
        <v>1</v>
      </c>
    </row>
    <row r="16" spans="1:8" ht="20.25" x14ac:dyDescent="0.4">
      <c r="A16" s="9"/>
      <c r="B16" s="9" t="s">
        <v>39</v>
      </c>
      <c r="C16" s="9"/>
      <c r="D16" s="9"/>
      <c r="E16" s="9"/>
      <c r="F16" s="15">
        <v>0.65</v>
      </c>
    </row>
    <row r="17" spans="1:10" ht="18.75" x14ac:dyDescent="0.4">
      <c r="A17" s="9" t="s">
        <v>40</v>
      </c>
      <c r="B17" s="9"/>
      <c r="C17" s="9"/>
      <c r="D17" s="9"/>
      <c r="E17" s="9"/>
      <c r="F17" s="17"/>
    </row>
    <row r="18" spans="1:10" ht="18.75" x14ac:dyDescent="0.4">
      <c r="A18" s="9"/>
      <c r="B18" s="9"/>
      <c r="C18" s="9"/>
      <c r="D18" s="9"/>
      <c r="E18" s="9"/>
      <c r="F18" s="18"/>
    </row>
    <row r="19" spans="1:10" ht="18.75" x14ac:dyDescent="0.4">
      <c r="A19" s="9" t="s">
        <v>41</v>
      </c>
      <c r="B19" s="9" t="s">
        <v>42</v>
      </c>
      <c r="C19" s="9"/>
      <c r="D19" s="9"/>
      <c r="E19" s="9"/>
      <c r="F19" s="17">
        <v>0.5</v>
      </c>
    </row>
    <row r="20" spans="1:10" ht="18.75" x14ac:dyDescent="0.4">
      <c r="A20" s="9"/>
      <c r="B20" s="9"/>
      <c r="C20" s="9"/>
      <c r="D20" s="9"/>
      <c r="E20" s="9"/>
      <c r="F20" s="18"/>
      <c r="H20" s="13"/>
    </row>
    <row r="21" spans="1:10" ht="18.75" x14ac:dyDescent="0.4">
      <c r="A21" s="9" t="s">
        <v>43</v>
      </c>
      <c r="B21" s="9" t="s">
        <v>44</v>
      </c>
      <c r="C21" s="9"/>
      <c r="D21" s="9"/>
      <c r="E21" s="9"/>
      <c r="F21" s="19">
        <v>1.1000000000000001</v>
      </c>
    </row>
    <row r="22" spans="1:10" ht="18.75" x14ac:dyDescent="0.4">
      <c r="A22" s="9"/>
      <c r="B22" s="9"/>
      <c r="C22" s="9"/>
      <c r="D22" s="9"/>
      <c r="E22" s="9"/>
      <c r="F22" s="20"/>
    </row>
    <row r="23" spans="1:10" ht="18.75" x14ac:dyDescent="0.4">
      <c r="A23" s="9" t="s">
        <v>45</v>
      </c>
      <c r="B23" s="9"/>
      <c r="C23" s="9"/>
      <c r="D23" s="9"/>
      <c r="E23" s="9"/>
      <c r="F23" s="19">
        <v>1</v>
      </c>
    </row>
    <row r="25" spans="1:10" ht="15.75" x14ac:dyDescent="0.25">
      <c r="H25" s="13"/>
      <c r="I25" s="13"/>
      <c r="J25" s="13"/>
    </row>
    <row r="26" spans="1:10" ht="15.75" x14ac:dyDescent="0.25">
      <c r="H26" s="13"/>
      <c r="I26" s="13"/>
      <c r="J26" s="13"/>
    </row>
    <row r="27" spans="1:10" ht="15.75" x14ac:dyDescent="0.25">
      <c r="H27" s="13"/>
      <c r="I27" s="13"/>
      <c r="J27" s="13"/>
    </row>
    <row r="28" spans="1:10" ht="15.75" x14ac:dyDescent="0.25">
      <c r="H28" s="13"/>
      <c r="I28" s="13"/>
      <c r="J28" s="13"/>
    </row>
  </sheetData>
  <mergeCells count="1">
    <mergeCell ref="F3:F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2026-01-14T20:49:46Z</cp:lastPrinted>
  <dcterms:created xsi:type="dcterms:W3CDTF">2023-10-31T20:19:37Z</dcterms:created>
  <dcterms:modified xsi:type="dcterms:W3CDTF">2026-01-28T20:57:47Z</dcterms:modified>
  <dc:language>es-MX</dc:language>
</cp:coreProperties>
</file>