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OPTIMA\O999 CROP TOP SIZADO CON CUELLO Y LLEVA GOTAS EN LOS COSTADOS\"/>
    </mc:Choice>
  </mc:AlternateContent>
  <xr:revisionPtr revIDLastSave="0" documentId="13_ncr:1_{27085EF2-0E07-435E-B7A8-DB0664512FF2}" xr6:coauthVersionLast="47" xr6:coauthVersionMax="47" xr10:uidLastSave="{00000000-0000-0000-0000-000000000000}"/>
  <bookViews>
    <workbookView xWindow="1560" yWindow="720" windowWidth="19410" windowHeight="15480" tabRatio="500" xr2:uid="{00000000-000D-0000-FFFF-FFFF00000000}"/>
  </bookViews>
  <sheets>
    <sheet name="FICHA TECNICA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<sst xmlns="http://schemas.openxmlformats.org/spreadsheetml/2006/main" count="100" uniqueCount="43">
  <si>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</si>
  <si>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</si>
  <si>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</si>
  <si>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</si>
  <si>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</si>
  <si>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</si>
  <si>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</si>
  <si>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</si>
  <si>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</si>
  <si>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</si>
  <si>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</si>
  <si>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NYLON</t>
  </si>
  <si>
    <t>%</t>
  </si>
  <si>
    <t>MEDIANA</t>
  </si>
  <si>
    <t>70/68</t>
  </si>
  <si>
    <t>ENHEBRADO</t>
  </si>
  <si>
    <t>20/70/68</t>
  </si>
  <si>
    <t>CROP TOP</t>
  </si>
  <si>
    <t>CHICA</t>
  </si>
  <si>
    <t>GRANDE</t>
  </si>
  <si>
    <t>-</t>
  </si>
  <si>
    <t>PESO + 10%:</t>
  </si>
  <si>
    <t>O999T38M</t>
  </si>
  <si>
    <t>O999T30C</t>
  </si>
  <si>
    <t>O999T35G</t>
  </si>
  <si>
    <t>REMATE</t>
  </si>
  <si>
    <t>LICRA DESNUDA</t>
  </si>
  <si>
    <t>GUATEMALA</t>
  </si>
  <si>
    <r>
      <rPr>
        <b/>
        <sz val="11"/>
        <color rgb="FF000000"/>
        <rFont val="Consolas"/>
        <family val="3"/>
      </rPr>
      <t>G</t>
    </r>
    <r>
      <rPr>
        <b/>
        <sz val="10"/>
        <color rgb="FF000000"/>
        <rFont val="Consolas"/>
        <family val="3"/>
      </rPr>
      <t>.</t>
    </r>
    <r>
      <rPr>
        <b/>
        <sz val="14"/>
        <color rgb="FF000000"/>
        <rFont val="Consolas"/>
        <family val="3"/>
      </rPr>
      <t>HILO</t>
    </r>
  </si>
  <si>
    <t>SIS.</t>
  </si>
  <si>
    <t>TIPO DE MAQUINA</t>
  </si>
  <si>
    <t>CIXING</t>
  </si>
  <si>
    <t>NO LLEVA</t>
  </si>
  <si>
    <t>#5</t>
  </si>
  <si>
    <t>#2</t>
  </si>
  <si>
    <t>#3</t>
  </si>
  <si>
    <t>#6</t>
  </si>
  <si>
    <t>#1</t>
  </si>
  <si>
    <t xml:space="preserve">SANTONI TOP2V </t>
  </si>
  <si>
    <t>SANTONI TOP2V #35</t>
  </si>
  <si>
    <t>#2 Y #6</t>
  </si>
  <si>
    <r>
      <t>CROP TOP SIZADO C/CUELLO Y GOTAS (</t>
    </r>
    <r>
      <rPr>
        <b/>
        <sz val="20"/>
        <color rgb="FFFF0000"/>
        <rFont val="Consolas"/>
        <family val="3"/>
      </rPr>
      <t>JR157</t>
    </r>
    <r>
      <rPr>
        <b/>
        <sz val="18"/>
        <color rgb="FF000000"/>
        <rFont val="Consolas"/>
        <family val="3"/>
      </rPr>
      <t>)</t>
    </r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</si>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</sst>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8"/>
      <color theme="0"/>
      <name val="Consolas"/>
      <family val="3"/>
      <charset val="1"/>
    </font>
    <font>
      <b/>
      <sz val="16"/>
      <color theme="0"/>
      <name val="Consolas"/>
      <family val="3"/>
    </font>
    <font>
      <b/>
      <sz val="20"/>
      <color rgb="FFFF0000"/>
      <name val="Consolas"/>
      <family val="3"/>
    </font>
    <font>
      <b/>
      <sz val="14"/>
      <color rgb="FFFFFF00"/>
      <name val="Consolas"/>
      <family val="3"/>
    </font>
    <font>
      <b/>
      <sz val="10"/>
      <color rgb="FF000000"/>
      <name val="Consolas"/>
      <family val="3"/>
    </font>
    <font>
      <b/>
      <sz val="14"/>
      <color rgb="FF0000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b/>
      <sz val="18"/>
      <color theme="0" tint="-4.9989318521683403E-2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color theme="0"/>
      <name val="Consolas"/>
      <family val="3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rgb="FF7030A0"/>
        <bgColor rgb="FFFFFFCC"/>
      </patternFill>
    </fill>
    <fill>
      <patternFill patternType="solid">
        <fgColor theme="5" tint="-0.249977111117893"/>
        <bgColor rgb="FFFFFFCC"/>
      </patternFill>
    </fill>
    <fill>
      <patternFill patternType="solid">
        <fgColor theme="4" tint="-0.499984740745262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theme="9" tint="-0.499984740745262"/>
        <bgColor rgb="FFFFFFCC"/>
      </patternFill>
    </fill>
    <fill>
      <patternFill patternType="solid">
        <fgColor rgb="FF0070C0"/>
        <bgColor rgb="FFFFFFCC"/>
      </patternFill>
    </fill>
    <fill>
      <patternFill patternType="solid">
        <fgColor theme="6" tint="-0.249977111117893"/>
        <bgColor rgb="FFFFFFCC"/>
      </patternFill>
    </fill>
    <fill>
      <patternFill patternType="solid">
        <fgColor theme="7" tint="-0.249977111117893"/>
        <bgColor rgb="FFFFFFCC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7" tint="0.79998168889431442"/>
        <bgColor rgb="FFFFFFCC"/>
      </patternFill>
    </fill>
    <fill>
      <patternFill patternType="solid">
        <fgColor theme="6" tint="0.79998168889431442"/>
        <bgColor rgb="FFFFFFCC"/>
      </patternFill>
    </fill>
    <fill>
      <patternFill patternType="solid">
        <fgColor theme="6" tint="-0.499984740745262"/>
        <bgColor rgb="FFFFFFCC"/>
      </patternFill>
    </fill>
    <fill>
      <patternFill patternType="solid">
        <fgColor theme="7" tint="-0.499984740745262"/>
        <bgColor rgb="FFFFFFCC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93">
    <xf numFmtId="0" fontId="0" fillId="0" borderId="0" xfId="0"/>
    <xf numFmtId="0" fontId="1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45" fontId="8" fillId="2" borderId="2" xfId="0" applyNumberFormat="1" applyFont="1" applyFill="1" applyBorder="1" applyAlignment="1">
      <alignment horizontal="center" vertical="center" wrapText="1"/>
    </xf>
    <xf numFmtId="45" fontId="8" fillId="2" borderId="8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45" fontId="8" fillId="2" borderId="19" xfId="0" applyNumberFormat="1" applyFont="1" applyFill="1" applyBorder="1" applyAlignment="1">
      <alignment horizontal="center" vertical="center" wrapText="1"/>
    </xf>
    <xf numFmtId="45" fontId="8" fillId="2" borderId="16" xfId="0" applyNumberFormat="1" applyFont="1" applyFill="1" applyBorder="1" applyAlignment="1">
      <alignment horizontal="center" vertical="center" wrapText="1"/>
    </xf>
    <xf numFmtId="45" fontId="8" fillId="2" borderId="21" xfId="0" applyNumberFormat="1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45" fontId="9" fillId="8" borderId="8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45" fontId="9" fillId="9" borderId="2" xfId="0" applyNumberFormat="1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45" fontId="9" fillId="10" borderId="18" xfId="0" applyNumberFormat="1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vertical="center" wrapText="1"/>
    </xf>
    <xf numFmtId="0" fontId="3" fillId="7" borderId="0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14" fillId="19" borderId="3" xfId="0" applyFont="1" applyFill="1" applyBorder="1" applyAlignment="1">
      <alignment horizontal="center" vertical="center" wrapText="1"/>
    </xf>
    <xf numFmtId="0" fontId="14" fillId="19" borderId="4" xfId="0" applyFont="1" applyFill="1" applyBorder="1" applyAlignment="1">
      <alignment horizontal="center" vertical="center" wrapText="1"/>
    </xf>
    <xf numFmtId="0" fontId="14" fillId="19" borderId="6" xfId="0" applyFont="1" applyFill="1" applyBorder="1" applyAlignment="1">
      <alignment horizontal="center" vertical="center" wrapText="1"/>
    </xf>
    <xf numFmtId="0" fontId="14" fillId="19" borderId="7" xfId="0" applyFont="1" applyFill="1" applyBorder="1" applyAlignment="1">
      <alignment horizontal="center" vertical="center" wrapText="1"/>
    </xf>
    <xf numFmtId="0" fontId="14" fillId="18" borderId="23" xfId="0" applyFont="1" applyFill="1" applyBorder="1" applyAlignment="1">
      <alignment horizontal="center" vertical="center" wrapText="1"/>
    </xf>
    <xf numFmtId="0" fontId="14" fillId="18" borderId="24" xfId="0" applyFont="1" applyFill="1" applyBorder="1" applyAlignment="1">
      <alignment horizontal="center" vertical="center" wrapText="1"/>
    </xf>
    <xf numFmtId="0" fontId="14" fillId="18" borderId="3" xfId="0" applyFont="1" applyFill="1" applyBorder="1" applyAlignment="1">
      <alignment horizontal="center" vertical="center" wrapText="1"/>
    </xf>
    <xf numFmtId="0" fontId="14" fillId="18" borderId="4" xfId="0" applyFont="1" applyFill="1" applyBorder="1" applyAlignment="1">
      <alignment horizontal="center" vertical="center" wrapText="1"/>
    </xf>
    <xf numFmtId="0" fontId="14" fillId="18" borderId="6" xfId="0" applyFont="1" applyFill="1" applyBorder="1" applyAlignment="1">
      <alignment horizontal="center" vertical="center" wrapText="1"/>
    </xf>
    <xf numFmtId="0" fontId="14" fillId="18" borderId="7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9" xfId="0" applyFont="1" applyFill="1" applyBorder="1" applyAlignment="1">
      <alignment horizontal="right"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22" fillId="21" borderId="8" xfId="0" applyFont="1" applyFill="1" applyBorder="1" applyAlignment="1">
      <alignment horizontal="center" vertical="center" wrapText="1"/>
    </xf>
    <xf numFmtId="0" fontId="22" fillId="21" borderId="3" xfId="0" applyFont="1" applyFill="1" applyBorder="1" applyAlignment="1">
      <alignment horizontal="center" vertical="center" wrapText="1"/>
    </xf>
    <xf numFmtId="0" fontId="22" fillId="21" borderId="4" xfId="0" applyFont="1" applyFill="1" applyBorder="1" applyAlignment="1">
      <alignment horizontal="center" vertical="center" wrapText="1"/>
    </xf>
    <xf numFmtId="0" fontId="22" fillId="21" borderId="9" xfId="0" applyFont="1" applyFill="1" applyBorder="1" applyAlignment="1">
      <alignment horizontal="center" vertical="center" wrapText="1"/>
    </xf>
    <xf numFmtId="0" fontId="22" fillId="21" borderId="6" xfId="0" applyFont="1" applyFill="1" applyBorder="1" applyAlignment="1">
      <alignment horizontal="center" vertical="center" wrapText="1"/>
    </xf>
    <xf numFmtId="0" fontId="22" fillId="21" borderId="7" xfId="0" applyFont="1" applyFill="1" applyBorder="1" applyAlignment="1">
      <alignment horizontal="center" vertical="center" wrapText="1"/>
    </xf>
    <xf numFmtId="0" fontId="22" fillId="20" borderId="8" xfId="0" applyFont="1" applyFill="1" applyBorder="1" applyAlignment="1">
      <alignment horizontal="center" vertical="center" wrapText="1"/>
    </xf>
    <xf numFmtId="0" fontId="22" fillId="20" borderId="3" xfId="0" applyFont="1" applyFill="1" applyBorder="1" applyAlignment="1">
      <alignment horizontal="center" vertical="center" wrapText="1"/>
    </xf>
    <xf numFmtId="0" fontId="22" fillId="20" borderId="4" xfId="0" applyFont="1" applyFill="1" applyBorder="1" applyAlignment="1">
      <alignment horizontal="center" vertical="center" wrapText="1"/>
    </xf>
    <xf numFmtId="0" fontId="22" fillId="20" borderId="9" xfId="0" applyFont="1" applyFill="1" applyBorder="1" applyAlignment="1">
      <alignment horizontal="center" vertical="center" wrapText="1"/>
    </xf>
    <xf numFmtId="0" fontId="22" fillId="20" borderId="6" xfId="0" applyFont="1" applyFill="1" applyBorder="1" applyAlignment="1">
      <alignment horizontal="center" vertical="center" wrapText="1"/>
    </xf>
    <xf numFmtId="0" fontId="22" fillId="20" borderId="7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6" fillId="18" borderId="4" xfId="0" applyFont="1" applyFill="1" applyBorder="1" applyAlignment="1">
      <alignment horizontal="center" vertical="center" wrapText="1"/>
    </xf>
    <xf numFmtId="0" fontId="16" fillId="18" borderId="7" xfId="0" applyFont="1" applyFill="1" applyBorder="1" applyAlignment="1">
      <alignment horizontal="center" vertical="center" wrapText="1"/>
    </xf>
    <xf numFmtId="0" fontId="16" fillId="19" borderId="3" xfId="0" applyFont="1" applyFill="1" applyBorder="1" applyAlignment="1">
      <alignment horizontal="center" vertical="center" wrapText="1"/>
    </xf>
    <xf numFmtId="0" fontId="16" fillId="19" borderId="6" xfId="0" applyFont="1" applyFill="1" applyBorder="1" applyAlignment="1">
      <alignment horizontal="center" vertical="center" wrapText="1"/>
    </xf>
    <xf numFmtId="0" fontId="22" fillId="9" borderId="8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22" fillId="9" borderId="9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 wrapText="1"/>
    </xf>
    <xf numFmtId="0" fontId="22" fillId="9" borderId="7" xfId="0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45" fontId="15" fillId="17" borderId="8" xfId="0" applyNumberFormat="1" applyFont="1" applyFill="1" applyBorder="1" applyAlignment="1">
      <alignment horizontal="center" vertical="center" wrapText="1"/>
    </xf>
    <xf numFmtId="45" fontId="15" fillId="17" borderId="3" xfId="0" applyNumberFormat="1" applyFont="1" applyFill="1" applyBorder="1" applyAlignment="1">
      <alignment horizontal="center" vertical="center" wrapText="1"/>
    </xf>
    <xf numFmtId="45" fontId="15" fillId="17" borderId="9" xfId="0" applyNumberFormat="1" applyFont="1" applyFill="1" applyBorder="1" applyAlignment="1">
      <alignment horizontal="center" vertical="center" wrapText="1"/>
    </xf>
    <xf numFmtId="45" fontId="15" fillId="17" borderId="6" xfId="0" applyNumberFormat="1" applyFont="1" applyFill="1" applyBorder="1" applyAlignment="1">
      <alignment horizontal="center" vertical="center" wrapText="1"/>
    </xf>
    <xf numFmtId="45" fontId="15" fillId="19" borderId="3" xfId="0" applyNumberFormat="1" applyFont="1" applyFill="1" applyBorder="1" applyAlignment="1">
      <alignment horizontal="center" vertical="center" wrapText="1"/>
    </xf>
    <xf numFmtId="45" fontId="15" fillId="19" borderId="6" xfId="0" applyNumberFormat="1" applyFont="1" applyFill="1" applyBorder="1" applyAlignment="1">
      <alignment horizontal="center" vertical="center" wrapText="1"/>
    </xf>
    <xf numFmtId="0" fontId="12" fillId="5" borderId="22" xfId="0" applyFont="1" applyFill="1" applyBorder="1" applyAlignment="1">
      <alignment horizontal="right" vertical="center" wrapText="1"/>
    </xf>
    <xf numFmtId="0" fontId="12" fillId="5" borderId="8" xfId="0" applyFont="1" applyFill="1" applyBorder="1" applyAlignment="1">
      <alignment horizontal="right" vertical="center" wrapText="1"/>
    </xf>
    <xf numFmtId="46" fontId="16" fillId="17" borderId="4" xfId="0" applyNumberFormat="1" applyFont="1" applyFill="1" applyBorder="1" applyAlignment="1">
      <alignment horizontal="center" vertical="center" wrapText="1"/>
    </xf>
    <xf numFmtId="46" fontId="16" fillId="17" borderId="7" xfId="0" applyNumberFormat="1" applyFont="1" applyFill="1" applyBorder="1" applyAlignment="1">
      <alignment horizontal="center" vertical="center" wrapText="1"/>
    </xf>
    <xf numFmtId="0" fontId="16" fillId="17" borderId="4" xfId="0" applyFont="1" applyFill="1" applyBorder="1" applyAlignment="1">
      <alignment horizontal="center" vertical="center" wrapText="1"/>
    </xf>
    <xf numFmtId="0" fontId="16" fillId="17" borderId="7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45" fontId="15" fillId="18" borderId="8" xfId="0" applyNumberFormat="1" applyFont="1" applyFill="1" applyBorder="1" applyAlignment="1">
      <alignment horizontal="center" vertical="center" wrapText="1"/>
    </xf>
    <xf numFmtId="45" fontId="15" fillId="18" borderId="3" xfId="0" applyNumberFormat="1" applyFont="1" applyFill="1" applyBorder="1" applyAlignment="1">
      <alignment horizontal="center" vertical="center" wrapText="1"/>
    </xf>
    <xf numFmtId="45" fontId="15" fillId="18" borderId="9" xfId="0" applyNumberFormat="1" applyFont="1" applyFill="1" applyBorder="1" applyAlignment="1">
      <alignment horizontal="center" vertical="center" wrapText="1"/>
    </xf>
    <xf numFmtId="45" fontId="15" fillId="18" borderId="6" xfId="0" applyNumberFormat="1" applyFont="1" applyFill="1" applyBorder="1" applyAlignment="1">
      <alignment horizontal="center" vertical="center" wrapText="1"/>
    </xf>
    <xf numFmtId="46" fontId="16" fillId="18" borderId="4" xfId="0" applyNumberFormat="1" applyFont="1" applyFill="1" applyBorder="1" applyAlignment="1">
      <alignment horizontal="center" vertical="center" wrapText="1"/>
    </xf>
    <xf numFmtId="46" fontId="16" fillId="18" borderId="7" xfId="0" applyNumberFormat="1" applyFont="1" applyFill="1" applyBorder="1" applyAlignment="1">
      <alignment horizontal="center" vertical="center" wrapText="1"/>
    </xf>
    <xf numFmtId="164" fontId="3" fillId="6" borderId="8" xfId="0" applyNumberFormat="1" applyFont="1" applyFill="1" applyBorder="1" applyAlignment="1">
      <alignment horizontal="center" vertical="center" wrapText="1"/>
    </xf>
    <xf numFmtId="164" fontId="3" fillId="6" borderId="11" xfId="0" applyNumberFormat="1" applyFont="1" applyFill="1" applyBorder="1" applyAlignment="1">
      <alignment horizontal="center" vertical="center" wrapText="1"/>
    </xf>
    <xf numFmtId="164" fontId="3" fillId="6" borderId="9" xfId="0" applyNumberFormat="1" applyFont="1" applyFill="1" applyBorder="1" applyAlignment="1">
      <alignment horizontal="center" vertical="center" wrapText="1"/>
    </xf>
    <xf numFmtId="164" fontId="3" fillId="6" borderId="12" xfId="0" applyNumberFormat="1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 wrapText="1"/>
    </xf>
    <xf numFmtId="0" fontId="10" fillId="13" borderId="11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10" fillId="13" borderId="12" xfId="0" applyFont="1" applyFill="1" applyBorder="1" applyAlignment="1">
      <alignment horizontal="center" vertical="center" wrapText="1"/>
    </xf>
    <xf numFmtId="46" fontId="16" fillId="19" borderId="3" xfId="0" applyNumberFormat="1" applyFont="1" applyFill="1" applyBorder="1" applyAlignment="1">
      <alignment horizontal="center" vertical="center" wrapText="1"/>
    </xf>
    <xf numFmtId="46" fontId="16" fillId="19" borderId="6" xfId="0" applyNumberFormat="1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7" fillId="14" borderId="8" xfId="0" applyFont="1" applyFill="1" applyBorder="1" applyAlignment="1">
      <alignment horizontal="center" vertical="center" wrapText="1"/>
    </xf>
    <xf numFmtId="0" fontId="17" fillId="14" borderId="3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center" vertical="center" wrapText="1"/>
    </xf>
    <xf numFmtId="0" fontId="17" fillId="14" borderId="9" xfId="0" applyFont="1" applyFill="1" applyBorder="1" applyAlignment="1">
      <alignment horizontal="center" vertical="center" wrapText="1"/>
    </xf>
    <xf numFmtId="0" fontId="17" fillId="14" borderId="6" xfId="0" applyFont="1" applyFill="1" applyBorder="1" applyAlignment="1">
      <alignment horizontal="center" vertical="center" wrapText="1"/>
    </xf>
    <xf numFmtId="0" fontId="17" fillId="14" borderId="7" xfId="0" applyFont="1" applyFill="1" applyBorder="1" applyAlignment="1">
      <alignment horizontal="center" vertical="center" wrapText="1"/>
    </xf>
    <xf numFmtId="0" fontId="17" fillId="11" borderId="8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 wrapText="1"/>
    </xf>
    <xf numFmtId="0" fontId="17" fillId="11" borderId="9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11" borderId="7" xfId="0" applyFont="1" applyFill="1" applyBorder="1" applyAlignment="1">
      <alignment horizontal="center" vertical="center" wrapText="1"/>
    </xf>
    <xf numFmtId="0" fontId="2" fillId="17" borderId="23" xfId="0" applyFont="1" applyFill="1" applyBorder="1" applyAlignment="1">
      <alignment horizontal="center" vertical="center" wrapText="1"/>
    </xf>
    <xf numFmtId="0" fontId="2" fillId="17" borderId="24" xfId="0" applyFont="1" applyFill="1" applyBorder="1" applyAlignment="1">
      <alignment horizontal="center" vertical="center" wrapText="1"/>
    </xf>
    <xf numFmtId="0" fontId="14" fillId="17" borderId="3" xfId="0" applyFont="1" applyFill="1" applyBorder="1" applyAlignment="1">
      <alignment horizontal="center" vertical="center" wrapText="1"/>
    </xf>
    <xf numFmtId="0" fontId="14" fillId="17" borderId="4" xfId="0" applyFont="1" applyFill="1" applyBorder="1" applyAlignment="1">
      <alignment horizontal="center" vertical="center" wrapText="1"/>
    </xf>
    <xf numFmtId="0" fontId="14" fillId="17" borderId="6" xfId="0" applyFont="1" applyFill="1" applyBorder="1" applyAlignment="1">
      <alignment horizontal="center" vertical="center" wrapText="1"/>
    </xf>
    <xf numFmtId="0" fontId="14" fillId="17" borderId="7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14" fillId="17" borderId="23" xfId="0" applyFont="1" applyFill="1" applyBorder="1" applyAlignment="1">
      <alignment horizontal="center" vertical="center" wrapText="1"/>
    </xf>
    <xf numFmtId="0" fontId="14" fillId="17" borderId="24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14" fillId="19" borderId="23" xfId="0" applyFont="1" applyFill="1" applyBorder="1" applyAlignment="1">
      <alignment horizontal="center" vertical="center" wrapText="1"/>
    </xf>
    <xf numFmtId="0" fontId="14" fillId="19" borderId="24" xfId="0" applyFont="1" applyFill="1" applyBorder="1" applyAlignment="1">
      <alignment horizontal="center" vertical="center" wrapText="1"/>
    </xf>
    <xf numFmtId="0" fontId="17" fillId="11" borderId="23" xfId="0" applyFont="1" applyFill="1" applyBorder="1" applyAlignment="1">
      <alignment horizontal="center" vertical="center" wrapText="1"/>
    </xf>
    <xf numFmtId="0" fontId="17" fillId="11" borderId="24" xfId="0" applyFont="1" applyFill="1" applyBorder="1" applyAlignment="1">
      <alignment horizontal="center" vertical="center" wrapText="1"/>
    </xf>
    <xf numFmtId="0" fontId="2" fillId="19" borderId="23" xfId="0" applyFont="1" applyFill="1" applyBorder="1" applyAlignment="1">
      <alignment horizontal="center" vertical="center" wrapText="1"/>
    </xf>
    <xf numFmtId="0" fontId="2" fillId="19" borderId="24" xfId="0" applyFont="1" applyFill="1" applyBorder="1" applyAlignment="1">
      <alignment horizontal="center" vertical="center" wrapText="1"/>
    </xf>
    <xf numFmtId="0" fontId="2" fillId="18" borderId="23" xfId="0" applyFont="1" applyFill="1" applyBorder="1" applyAlignment="1">
      <alignment horizontal="center" vertical="center" wrapText="1"/>
    </xf>
    <xf numFmtId="0" fontId="2" fillId="18" borderId="24" xfId="0" applyFont="1" applyFill="1" applyBorder="1" applyAlignment="1">
      <alignment horizontal="center" vertical="center" wrapText="1"/>
    </xf>
    <xf numFmtId="0" fontId="17" fillId="16" borderId="8" xfId="0" applyFont="1" applyFill="1" applyBorder="1" applyAlignment="1">
      <alignment horizontal="center" vertical="center" wrapText="1"/>
    </xf>
    <xf numFmtId="0" fontId="17" fillId="16" borderId="3" xfId="0" applyFont="1" applyFill="1" applyBorder="1" applyAlignment="1">
      <alignment horizontal="center" vertical="center" wrapText="1"/>
    </xf>
    <xf numFmtId="0" fontId="17" fillId="16" borderId="4" xfId="0" applyFont="1" applyFill="1" applyBorder="1" applyAlignment="1">
      <alignment horizontal="center" vertical="center" wrapText="1"/>
    </xf>
    <xf numFmtId="0" fontId="17" fillId="16" borderId="9" xfId="0" applyFont="1" applyFill="1" applyBorder="1" applyAlignment="1">
      <alignment horizontal="center" vertical="center" wrapText="1"/>
    </xf>
    <xf numFmtId="0" fontId="17" fillId="16" borderId="6" xfId="0" applyFont="1" applyFill="1" applyBorder="1" applyAlignment="1">
      <alignment horizontal="center" vertical="center" wrapText="1"/>
    </xf>
    <xf numFmtId="0" fontId="17" fillId="16" borderId="7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5" borderId="8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7" fillId="12" borderId="15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7" fillId="12" borderId="10" xfId="0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21" fillId="6" borderId="0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 wrapText="1"/>
    </xf>
    <xf numFmtId="0" fontId="17" fillId="15" borderId="8" xfId="0" applyFont="1" applyFill="1" applyBorder="1" applyAlignment="1">
      <alignment horizontal="center" vertical="center" wrapText="1"/>
    </xf>
    <xf numFmtId="0" fontId="17" fillId="15" borderId="3" xfId="0" applyFont="1" applyFill="1" applyBorder="1" applyAlignment="1">
      <alignment horizontal="center" vertical="center" wrapText="1"/>
    </xf>
    <xf numFmtId="0" fontId="17" fillId="15" borderId="4" xfId="0" applyFont="1" applyFill="1" applyBorder="1" applyAlignment="1">
      <alignment horizontal="center" vertical="center" wrapText="1"/>
    </xf>
    <xf numFmtId="0" fontId="17" fillId="15" borderId="9" xfId="0" applyFont="1" applyFill="1" applyBorder="1" applyAlignment="1">
      <alignment horizontal="center" vertical="center" wrapText="1"/>
    </xf>
    <xf numFmtId="0" fontId="17" fillId="15" borderId="6" xfId="0" applyFont="1" applyFill="1" applyBorder="1" applyAlignment="1">
      <alignment horizontal="center" vertical="center" wrapText="1"/>
    </xf>
    <xf numFmtId="0" fontId="17" fillId="15" borderId="7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33519</xdr:colOff>
      <xdr:row>3</xdr:row>
      <xdr:rowOff>85724</xdr:rowOff>
    </xdr:from>
    <xdr:to>
      <xdr:col>3</xdr:col>
      <xdr:colOff>495300</xdr:colOff>
      <xdr:row>11</xdr:row>
      <xdr:rowOff>66674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3B3617-040D-BA8F-4696-DDD7C5C4BE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5917" l="10000" r="90000">
                      <a14:foregroundMark x1="31750" y1="94583" x2="55813" y2="95917"/>
                    </a14:backgroundRemoval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4006" t="13786" r="18502"/>
        <a:stretch/>
      </xdr:blipFill>
      <xdr:spPr>
        <a:xfrm>
          <a:off x="52569" y="676274"/>
          <a:ext cx="1261881" cy="1419225"/>
        </a:xfrm>
        <a:prstGeom prst="rect">
          <a:avLst/>
        </a:prstGeom>
      </xdr:spPr>
    </xdr:pic>
    <xdr:clientData/>
  </xdr:twoCellAnchor>
  <xdr:twoCellAnchor editAs="oneCell">
    <xdr:from>
      <xdr:col>2</xdr:col>
      <xdr:colOff>222529</xdr:colOff>
      <xdr:row>11</xdr:row>
      <xdr:rowOff>66674</xdr:rowOff>
    </xdr:from>
    <xdr:to>
      <xdr:col>3</xdr:col>
      <xdr:colOff>571500</xdr:colOff>
      <xdr:row>16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366965-DC27-6A5B-AC7B-C2A544543D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41" r="54061" b="693"/>
        <a:stretch/>
      </xdr:blipFill>
      <xdr:spPr>
        <a:xfrm>
          <a:off x="746404" y="2095499"/>
          <a:ext cx="701396" cy="1123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3"/>
  <sheetViews>
    <sheetView showGridLines="0" tabSelected="1" zoomScaleNormal="100" workbookViewId="0">
      <selection activeCell="D27" sqref="D27:F27"/>
    </sheetView>
  </sheetViews>
  <sheetFormatPr baseColWidth="10" defaultColWidth="14.42578125" defaultRowHeight="15" x14ac:dyDescent="0.25"/>
  <cols>
    <col min="1" max="1" width="0.28515625" customWidth="1"/>
    <col min="2" max="2" width="6.7109375" customWidth="1"/>
    <col min="3" max="3" width="5.28515625" customWidth="1"/>
    <col min="4" max="4" width="8.7109375" customWidth="1"/>
    <col min="5" max="5" width="8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172" t="s">
        <v>1</v>
      </c>
      <c r="C2" s="173"/>
      <c r="D2" s="173"/>
      <c r="E2" s="39" t="s">
        <v>2</v>
      </c>
      <c r="F2" s="40"/>
      <c r="G2" s="40"/>
      <c r="H2" s="40"/>
      <c r="I2" s="40"/>
      <c r="J2" s="40"/>
      <c r="K2" s="40"/>
      <c r="L2" s="40"/>
      <c r="M2" s="40"/>
      <c r="N2" s="40"/>
      <c r="O2" s="41"/>
    </row>
    <row r="3" spans="1:15" ht="15.95" customHeight="1" thickBot="1" x14ac:dyDescent="0.3">
      <c r="B3" s="174"/>
      <c r="C3" s="175"/>
      <c r="D3" s="175"/>
      <c r="E3" s="42"/>
      <c r="F3" s="43"/>
      <c r="G3" s="43"/>
      <c r="H3" s="43"/>
      <c r="I3" s="43"/>
      <c r="J3" s="43"/>
      <c r="K3" s="43"/>
      <c r="L3" s="43"/>
      <c r="M3" s="43"/>
      <c r="N3" s="43"/>
      <c r="O3" s="44"/>
    </row>
    <row r="4" spans="1:15" ht="12.95" customHeight="1" x14ac:dyDescent="0.25">
      <c r="B4" s="23"/>
      <c r="C4" s="24"/>
      <c r="D4" s="24"/>
      <c r="E4" s="57" t="s">
        <v>41</v>
      </c>
      <c r="F4" s="58"/>
      <c r="G4" s="58"/>
      <c r="H4" s="58"/>
      <c r="I4" s="58"/>
      <c r="J4" s="58"/>
      <c r="K4" s="58"/>
      <c r="L4" s="58"/>
      <c r="M4" s="58"/>
      <c r="N4" s="58"/>
      <c r="O4" s="59"/>
    </row>
    <row r="5" spans="1:15" ht="12.95" customHeight="1" x14ac:dyDescent="0.25">
      <c r="B5" s="23"/>
      <c r="C5" s="24"/>
      <c r="D5" s="24"/>
      <c r="E5" s="57"/>
      <c r="F5" s="58"/>
      <c r="G5" s="58"/>
      <c r="H5" s="58"/>
      <c r="I5" s="58"/>
      <c r="J5" s="58"/>
      <c r="K5" s="58"/>
      <c r="L5" s="58"/>
      <c r="M5" s="58"/>
      <c r="N5" s="58"/>
      <c r="O5" s="59"/>
    </row>
    <row r="6" spans="1:15" ht="20.25" customHeight="1" x14ac:dyDescent="0.25">
      <c r="B6" s="23"/>
      <c r="C6" s="24"/>
      <c r="D6" s="24"/>
      <c r="E6" s="57"/>
      <c r="F6" s="58"/>
      <c r="G6" s="58"/>
      <c r="H6" s="58"/>
      <c r="I6" s="58"/>
      <c r="J6" s="58"/>
      <c r="K6" s="58"/>
      <c r="L6" s="58"/>
      <c r="M6" s="58"/>
      <c r="N6" s="58"/>
      <c r="O6" s="59"/>
    </row>
    <row r="7" spans="1:15" ht="4.5" customHeight="1" thickBot="1" x14ac:dyDescent="0.3">
      <c r="B7" s="23"/>
      <c r="C7" s="24"/>
      <c r="D7" s="24"/>
      <c r="E7" s="60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1:15" ht="15.95" customHeight="1" thickBot="1" x14ac:dyDescent="0.3">
      <c r="B8" s="23"/>
      <c r="C8" s="24"/>
      <c r="D8" s="24"/>
      <c r="E8" s="37" t="s">
        <v>4</v>
      </c>
      <c r="F8" s="38"/>
      <c r="G8" s="67" t="s">
        <v>18</v>
      </c>
      <c r="H8" s="68"/>
      <c r="I8" s="69"/>
      <c r="J8" s="51" t="s">
        <v>13</v>
      </c>
      <c r="K8" s="52"/>
      <c r="L8" s="53"/>
      <c r="M8" s="45" t="s">
        <v>19</v>
      </c>
      <c r="N8" s="46"/>
      <c r="O8" s="47"/>
    </row>
    <row r="9" spans="1:15" ht="15.95" customHeight="1" thickBot="1" x14ac:dyDescent="0.3">
      <c r="B9" s="23"/>
      <c r="C9" s="24"/>
      <c r="D9" s="24"/>
      <c r="E9" s="37"/>
      <c r="F9" s="38"/>
      <c r="G9" s="70"/>
      <c r="H9" s="71"/>
      <c r="I9" s="72"/>
      <c r="J9" s="54"/>
      <c r="K9" s="55"/>
      <c r="L9" s="56"/>
      <c r="M9" s="48"/>
      <c r="N9" s="49"/>
      <c r="O9" s="50"/>
    </row>
    <row r="10" spans="1:15" ht="15.95" customHeight="1" thickBot="1" x14ac:dyDescent="0.3">
      <c r="B10" s="23"/>
      <c r="C10" s="24"/>
      <c r="D10" s="24"/>
      <c r="E10" s="37" t="s">
        <v>3</v>
      </c>
      <c r="F10" s="37"/>
      <c r="G10" s="81" t="s">
        <v>17</v>
      </c>
      <c r="H10" s="82"/>
      <c r="I10" s="82"/>
      <c r="J10" s="82"/>
      <c r="K10" s="82"/>
      <c r="L10" s="82"/>
      <c r="M10" s="82"/>
      <c r="N10" s="82"/>
      <c r="O10" s="83"/>
    </row>
    <row r="11" spans="1:15" ht="15.95" customHeight="1" thickBot="1" x14ac:dyDescent="0.3">
      <c r="B11" s="23"/>
      <c r="C11" s="24"/>
      <c r="D11" s="24"/>
      <c r="E11" s="37"/>
      <c r="F11" s="37"/>
      <c r="G11" s="84"/>
      <c r="H11" s="85"/>
      <c r="I11" s="85"/>
      <c r="J11" s="85"/>
      <c r="K11" s="85"/>
      <c r="L11" s="85"/>
      <c r="M11" s="85"/>
      <c r="N11" s="85"/>
      <c r="O11" s="86"/>
    </row>
    <row r="12" spans="1:15" ht="15.95" customHeight="1" thickBot="1" x14ac:dyDescent="0.3">
      <c r="B12" s="23"/>
      <c r="C12" s="24"/>
      <c r="D12" s="24"/>
      <c r="E12" s="37" t="s">
        <v>5</v>
      </c>
      <c r="F12" s="38"/>
      <c r="G12" s="73" t="s">
        <v>23</v>
      </c>
      <c r="H12" s="74"/>
      <c r="I12" s="75"/>
      <c r="J12" s="79" t="s">
        <v>22</v>
      </c>
      <c r="K12" s="79"/>
      <c r="L12" s="79"/>
      <c r="M12" s="99" t="s">
        <v>24</v>
      </c>
      <c r="N12" s="100"/>
      <c r="O12" s="119"/>
    </row>
    <row r="13" spans="1:15" ht="15.95" customHeight="1" thickBot="1" x14ac:dyDescent="0.3">
      <c r="B13" s="23"/>
      <c r="C13" s="24"/>
      <c r="D13" s="24"/>
      <c r="E13" s="37"/>
      <c r="F13" s="38"/>
      <c r="G13" s="76"/>
      <c r="H13" s="77"/>
      <c r="I13" s="78"/>
      <c r="J13" s="80"/>
      <c r="K13" s="80"/>
      <c r="L13" s="80"/>
      <c r="M13" s="101"/>
      <c r="N13" s="102"/>
      <c r="O13" s="120"/>
    </row>
    <row r="14" spans="1:15" ht="15.95" customHeight="1" thickBot="1" x14ac:dyDescent="0.3">
      <c r="B14" s="23"/>
      <c r="C14" s="24"/>
      <c r="D14" s="24"/>
      <c r="E14" s="37" t="s">
        <v>21</v>
      </c>
      <c r="F14" s="38"/>
      <c r="G14" s="73">
        <f>105*110%</f>
        <v>115.50000000000001</v>
      </c>
      <c r="H14" s="74"/>
      <c r="I14" s="97" t="s">
        <v>6</v>
      </c>
      <c r="J14" s="79">
        <f>113*110%</f>
        <v>124.30000000000001</v>
      </c>
      <c r="K14" s="79"/>
      <c r="L14" s="65" t="s">
        <v>6</v>
      </c>
      <c r="M14" s="99"/>
      <c r="N14" s="100"/>
      <c r="O14" s="63" t="s">
        <v>6</v>
      </c>
    </row>
    <row r="15" spans="1:15" ht="15.95" customHeight="1" thickBot="1" x14ac:dyDescent="0.3">
      <c r="B15" s="23"/>
      <c r="C15" s="24"/>
      <c r="D15" s="24"/>
      <c r="E15" s="37"/>
      <c r="F15" s="38"/>
      <c r="G15" s="76"/>
      <c r="H15" s="77"/>
      <c r="I15" s="98"/>
      <c r="J15" s="80"/>
      <c r="K15" s="80"/>
      <c r="L15" s="66"/>
      <c r="M15" s="101"/>
      <c r="N15" s="102"/>
      <c r="O15" s="64"/>
    </row>
    <row r="16" spans="1:15" ht="15.95" customHeight="1" thickBot="1" x14ac:dyDescent="0.3">
      <c r="B16" s="23"/>
      <c r="C16" s="24"/>
      <c r="D16" s="24"/>
      <c r="E16" s="37" t="s">
        <v>7</v>
      </c>
      <c r="F16" s="38"/>
      <c r="G16" s="87">
        <v>3.6111111111111109E-3</v>
      </c>
      <c r="H16" s="88"/>
      <c r="I16" s="95" t="s">
        <v>8</v>
      </c>
      <c r="J16" s="91">
        <v>2.8009259259259259E-3</v>
      </c>
      <c r="K16" s="91"/>
      <c r="L16" s="117" t="s">
        <v>8</v>
      </c>
      <c r="M16" s="103"/>
      <c r="N16" s="104"/>
      <c r="O16" s="107" t="s">
        <v>8</v>
      </c>
    </row>
    <row r="17" spans="2:15" ht="15.95" customHeight="1" thickBot="1" x14ac:dyDescent="0.3">
      <c r="B17" s="25"/>
      <c r="C17" s="26"/>
      <c r="D17" s="26"/>
      <c r="E17" s="93"/>
      <c r="F17" s="94"/>
      <c r="G17" s="89"/>
      <c r="H17" s="90"/>
      <c r="I17" s="96"/>
      <c r="J17" s="92"/>
      <c r="K17" s="92"/>
      <c r="L17" s="118"/>
      <c r="M17" s="105"/>
      <c r="N17" s="106"/>
      <c r="O17" s="108"/>
    </row>
    <row r="18" spans="2:15" ht="15.95" customHeight="1" x14ac:dyDescent="0.25">
      <c r="B18" s="121" t="s">
        <v>15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3"/>
    </row>
    <row r="19" spans="2:15" ht="15.95" customHeight="1" thickBot="1" x14ac:dyDescent="0.3">
      <c r="B19" s="124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6"/>
    </row>
    <row r="20" spans="2:15" ht="15.95" customHeight="1" x14ac:dyDescent="0.25">
      <c r="B20" s="180" t="s">
        <v>30</v>
      </c>
      <c r="C20" s="181"/>
      <c r="D20" s="181"/>
      <c r="E20" s="181"/>
      <c r="F20" s="181"/>
      <c r="G20" s="127" t="s">
        <v>31</v>
      </c>
      <c r="H20" s="128"/>
      <c r="I20" s="129"/>
      <c r="J20" s="184" t="s">
        <v>38</v>
      </c>
      <c r="K20" s="185"/>
      <c r="L20" s="186"/>
      <c r="M20" s="165" t="s">
        <v>39</v>
      </c>
      <c r="N20" s="166"/>
      <c r="O20" s="167"/>
    </row>
    <row r="21" spans="2:15" ht="29.25" customHeight="1" thickBot="1" x14ac:dyDescent="0.3">
      <c r="B21" s="182"/>
      <c r="C21" s="183"/>
      <c r="D21" s="183"/>
      <c r="E21" s="183"/>
      <c r="F21" s="183"/>
      <c r="G21" s="130"/>
      <c r="H21" s="131"/>
      <c r="I21" s="132"/>
      <c r="J21" s="187"/>
      <c r="K21" s="188"/>
      <c r="L21" s="189"/>
      <c r="M21" s="168"/>
      <c r="N21" s="169"/>
      <c r="O21" s="170"/>
    </row>
    <row r="22" spans="2:15" ht="15.95" customHeight="1" x14ac:dyDescent="0.25">
      <c r="B22" s="153" t="s">
        <v>12</v>
      </c>
      <c r="C22" s="154"/>
      <c r="D22" s="151" t="s">
        <v>9</v>
      </c>
      <c r="E22" s="151"/>
      <c r="F22" s="151"/>
      <c r="G22" s="139" t="s">
        <v>28</v>
      </c>
      <c r="H22" s="141" t="s">
        <v>29</v>
      </c>
      <c r="I22" s="142"/>
      <c r="J22" s="161" t="s">
        <v>28</v>
      </c>
      <c r="K22" s="27" t="s">
        <v>29</v>
      </c>
      <c r="L22" s="28"/>
      <c r="M22" s="163" t="s">
        <v>28</v>
      </c>
      <c r="N22" s="33" t="s">
        <v>29</v>
      </c>
      <c r="O22" s="34"/>
    </row>
    <row r="23" spans="2:15" ht="15.95" customHeight="1" thickBot="1" x14ac:dyDescent="0.3">
      <c r="B23" s="155"/>
      <c r="C23" s="156"/>
      <c r="D23" s="152"/>
      <c r="E23" s="152"/>
      <c r="F23" s="152"/>
      <c r="G23" s="140"/>
      <c r="H23" s="143"/>
      <c r="I23" s="144"/>
      <c r="J23" s="162"/>
      <c r="K23" s="29"/>
      <c r="L23" s="30"/>
      <c r="M23" s="164"/>
      <c r="N23" s="35"/>
      <c r="O23" s="36"/>
    </row>
    <row r="24" spans="2:15" ht="15.95" customHeight="1" x14ac:dyDescent="0.25">
      <c r="B24" s="109">
        <v>6.0000000000000001E-3</v>
      </c>
      <c r="C24" s="110"/>
      <c r="D24" s="145" t="s">
        <v>26</v>
      </c>
      <c r="E24" s="146"/>
      <c r="F24" s="146"/>
      <c r="G24" s="149" t="s">
        <v>35</v>
      </c>
      <c r="H24" s="141" t="s">
        <v>40</v>
      </c>
      <c r="I24" s="142"/>
      <c r="J24" s="157" t="s">
        <v>35</v>
      </c>
      <c r="K24" s="27" t="s">
        <v>40</v>
      </c>
      <c r="L24" s="28"/>
      <c r="M24" s="31" t="s">
        <v>37</v>
      </c>
      <c r="N24" s="33" t="s">
        <v>40</v>
      </c>
      <c r="O24" s="34"/>
    </row>
    <row r="25" spans="2:15" ht="15.95" customHeight="1" thickBot="1" x14ac:dyDescent="0.3">
      <c r="B25" s="111"/>
      <c r="C25" s="112"/>
      <c r="D25" s="147">
        <v>40</v>
      </c>
      <c r="E25" s="148"/>
      <c r="F25" s="148"/>
      <c r="G25" s="150"/>
      <c r="H25" s="143"/>
      <c r="I25" s="144"/>
      <c r="J25" s="158"/>
      <c r="K25" s="29"/>
      <c r="L25" s="30"/>
      <c r="M25" s="32"/>
      <c r="N25" s="35"/>
      <c r="O25" s="36"/>
    </row>
    <row r="26" spans="2:15" ht="15.95" customHeight="1" x14ac:dyDescent="0.25">
      <c r="B26" s="109">
        <v>0.54</v>
      </c>
      <c r="C26" s="110"/>
      <c r="D26" s="145" t="s">
        <v>42</v>
      </c>
      <c r="E26" s="146"/>
      <c r="F26" s="146"/>
      <c r="G26" s="149" t="s">
        <v>34</v>
      </c>
      <c r="H26" s="141" t="s">
        <v>10</v>
      </c>
      <c r="I26" s="142"/>
      <c r="J26" s="157" t="s">
        <v>34</v>
      </c>
      <c r="K26" s="27" t="s">
        <v>10</v>
      </c>
      <c r="L26" s="28"/>
      <c r="M26" s="31" t="s">
        <v>34</v>
      </c>
      <c r="N26" s="33" t="s">
        <v>10</v>
      </c>
      <c r="O26" s="34"/>
    </row>
    <row r="27" spans="2:15" ht="15.95" customHeight="1" thickBot="1" x14ac:dyDescent="0.3">
      <c r="B27" s="111"/>
      <c r="C27" s="112"/>
      <c r="D27" s="147" t="s">
        <v>16</v>
      </c>
      <c r="E27" s="148"/>
      <c r="F27" s="148"/>
      <c r="G27" s="150"/>
      <c r="H27" s="143"/>
      <c r="I27" s="144"/>
      <c r="J27" s="158"/>
      <c r="K27" s="29"/>
      <c r="L27" s="30"/>
      <c r="M27" s="32"/>
      <c r="N27" s="35"/>
      <c r="O27" s="36"/>
    </row>
    <row r="28" spans="2:15" ht="15.75" customHeight="1" x14ac:dyDescent="0.25">
      <c r="B28" s="109">
        <v>0.46</v>
      </c>
      <c r="C28" s="110"/>
      <c r="D28" s="145" t="s">
        <v>11</v>
      </c>
      <c r="E28" s="146"/>
      <c r="F28" s="146"/>
      <c r="G28" s="149" t="s">
        <v>33</v>
      </c>
      <c r="H28" s="141" t="s">
        <v>10</v>
      </c>
      <c r="I28" s="142"/>
      <c r="J28" s="157" t="s">
        <v>36</v>
      </c>
      <c r="K28" s="27" t="s">
        <v>10</v>
      </c>
      <c r="L28" s="28"/>
      <c r="M28" s="31" t="s">
        <v>36</v>
      </c>
      <c r="N28" s="33" t="s">
        <v>10</v>
      </c>
      <c r="O28" s="34"/>
    </row>
    <row r="29" spans="2:15" ht="15.75" customHeight="1" thickBot="1" x14ac:dyDescent="0.3">
      <c r="B29" s="111"/>
      <c r="C29" s="112"/>
      <c r="D29" s="147" t="s">
        <v>14</v>
      </c>
      <c r="E29" s="148"/>
      <c r="F29" s="148"/>
      <c r="G29" s="150"/>
      <c r="H29" s="143"/>
      <c r="I29" s="144"/>
      <c r="J29" s="158"/>
      <c r="K29" s="29"/>
      <c r="L29" s="30"/>
      <c r="M29" s="32"/>
      <c r="N29" s="35"/>
      <c r="O29" s="36"/>
    </row>
    <row r="30" spans="2:15" ht="15.75" customHeight="1" x14ac:dyDescent="0.25">
      <c r="B30" s="113" t="s">
        <v>25</v>
      </c>
      <c r="C30" s="114"/>
      <c r="D30" s="176" t="s">
        <v>27</v>
      </c>
      <c r="E30" s="177"/>
      <c r="F30" s="177"/>
      <c r="G30" s="133" t="s">
        <v>32</v>
      </c>
      <c r="H30" s="134"/>
      <c r="I30" s="135"/>
      <c r="J30" s="159" t="s">
        <v>37</v>
      </c>
      <c r="K30" s="134" t="s">
        <v>36</v>
      </c>
      <c r="L30" s="135"/>
      <c r="M30" s="159" t="s">
        <v>35</v>
      </c>
      <c r="N30" s="134" t="s">
        <v>36</v>
      </c>
      <c r="O30" s="135"/>
    </row>
    <row r="31" spans="2:15" ht="15.75" customHeight="1" thickBot="1" x14ac:dyDescent="0.3">
      <c r="B31" s="115"/>
      <c r="C31" s="116"/>
      <c r="D31" s="178"/>
      <c r="E31" s="179"/>
      <c r="F31" s="179"/>
      <c r="G31" s="136"/>
      <c r="H31" s="137"/>
      <c r="I31" s="138"/>
      <c r="J31" s="160"/>
      <c r="K31" s="137"/>
      <c r="L31" s="138"/>
      <c r="M31" s="160"/>
      <c r="N31" s="137"/>
      <c r="O31" s="138"/>
    </row>
    <row r="32" spans="2:15" ht="15.75" customHeight="1" x14ac:dyDescent="0.25">
      <c r="M32" s="171"/>
      <c r="N32" s="171"/>
      <c r="O32" s="17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</sheetData>
  <mergeCells count="75">
    <mergeCell ref="M28:M29"/>
    <mergeCell ref="N28:O29"/>
    <mergeCell ref="M22:M23"/>
    <mergeCell ref="N22:O23"/>
    <mergeCell ref="M20:O21"/>
    <mergeCell ref="M32:O32"/>
    <mergeCell ref="B2:D3"/>
    <mergeCell ref="D28:F28"/>
    <mergeCell ref="D29:F29"/>
    <mergeCell ref="D30:F31"/>
    <mergeCell ref="B20:F21"/>
    <mergeCell ref="J20:L21"/>
    <mergeCell ref="K30:L31"/>
    <mergeCell ref="M30:M31"/>
    <mergeCell ref="N30:O31"/>
    <mergeCell ref="M26:M27"/>
    <mergeCell ref="N26:O27"/>
    <mergeCell ref="J28:J29"/>
    <mergeCell ref="J24:J25"/>
    <mergeCell ref="J26:J27"/>
    <mergeCell ref="J30:J31"/>
    <mergeCell ref="J22:J23"/>
    <mergeCell ref="K22:L23"/>
    <mergeCell ref="K28:L29"/>
    <mergeCell ref="D22:F23"/>
    <mergeCell ref="B22:C23"/>
    <mergeCell ref="B24:C25"/>
    <mergeCell ref="G28:G29"/>
    <mergeCell ref="H28:I29"/>
    <mergeCell ref="B26:C27"/>
    <mergeCell ref="B28:C29"/>
    <mergeCell ref="B30:C31"/>
    <mergeCell ref="L16:L17"/>
    <mergeCell ref="M12:O13"/>
    <mergeCell ref="B18:O19"/>
    <mergeCell ref="G20:I21"/>
    <mergeCell ref="G30:I31"/>
    <mergeCell ref="G22:G23"/>
    <mergeCell ref="H22:I23"/>
    <mergeCell ref="D26:F26"/>
    <mergeCell ref="D27:F27"/>
    <mergeCell ref="G24:G25"/>
    <mergeCell ref="H24:I25"/>
    <mergeCell ref="G26:G27"/>
    <mergeCell ref="H26:I27"/>
    <mergeCell ref="E2:O3"/>
    <mergeCell ref="M8:O9"/>
    <mergeCell ref="J8:L9"/>
    <mergeCell ref="E4:O7"/>
    <mergeCell ref="O14:O15"/>
    <mergeCell ref="L14:L15"/>
    <mergeCell ref="G8:I9"/>
    <mergeCell ref="G12:I13"/>
    <mergeCell ref="J12:L13"/>
    <mergeCell ref="G14:H15"/>
    <mergeCell ref="J14:K15"/>
    <mergeCell ref="G10:O11"/>
    <mergeCell ref="I14:I15"/>
    <mergeCell ref="M14:N15"/>
    <mergeCell ref="K24:L25"/>
    <mergeCell ref="M24:M25"/>
    <mergeCell ref="N24:O25"/>
    <mergeCell ref="K26:L27"/>
    <mergeCell ref="E8:F9"/>
    <mergeCell ref="E10:F11"/>
    <mergeCell ref="E12:F13"/>
    <mergeCell ref="E14:F15"/>
    <mergeCell ref="G16:H17"/>
    <mergeCell ref="J16:K17"/>
    <mergeCell ref="E16:F17"/>
    <mergeCell ref="I16:I17"/>
    <mergeCell ref="M16:N17"/>
    <mergeCell ref="O16:O17"/>
    <mergeCell ref="D24:F24"/>
    <mergeCell ref="D25:F25"/>
  </mergeCells>
  <phoneticPr fontId="18" type="noConversion"/>
  <printOptions horizontalCentered="1"/>
  <pageMargins left="0.17" right="0.26" top="0.28999999999999998" bottom="0" header="0.17" footer="0"/>
  <pageSetup scale="11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25DCA46-1526-4107-933F-65E7663CC71A}">
          <x14:formula1>
            <xm:f>DATA!$B$4:$B$8</xm:f>
          </x14:formula1>
          <xm:sqref>G12:I13 L12:L13 O12:O13</xm:sqref>
        </x14:dataValidation>
        <x14:dataValidation type="list" allowBlank="1" showInputMessage="1" showErrorMessage="1" xr:uid="{D4FC21FC-1BD4-4DE9-AC61-0B0C8C880E62}">
          <x14:formula1>
            <xm:f>DATA!$C$4:$C$8</xm:f>
          </x14:formula1>
          <xm:sqref>J12:K13 N12:N13</xm:sqref>
        </x14:dataValidation>
        <x14:dataValidation type="list" allowBlank="1" showInputMessage="1" showErrorMessage="1" xr:uid="{4B646C0D-1AFE-4EC1-AFF2-2C134FF5213C}">
          <x14:formula1>
            <xm:f>DATA!$D$4:$D$8</xm:f>
          </x14:formula1>
          <xm:sqref>M12:M13</xm:sqref>
        </x14:dataValidation>
        <x14:dataValidation type="list" allowBlank="1" showInputMessage="1" showErrorMessage="1" xr:uid="{5D41E5DD-097A-437A-B968-4363E3736CF3}">
          <x14:formula1>
            <xm:f>DATA!$C$11:$C$15</xm:f>
          </x14:formula1>
          <xm:sqref>J16:K17 N16:N17</xm:sqref>
        </x14:dataValidation>
        <x14:dataValidation type="list" allowBlank="1" showInputMessage="1" showErrorMessage="1" xr:uid="{8AF1F064-A2BE-4137-942E-3F08D4793108}">
          <x14:formula1>
            <xm:f>DATA!$D$11:$D$15</xm:f>
          </x14:formula1>
          <xm:sqref>M16:M17</xm:sqref>
        </x14:dataValidation>
        <x14:dataValidation type="list" allowBlank="1" showInputMessage="1" showErrorMessage="1" xr:uid="{B17B61E1-5A31-480B-864E-F27E110F4D37}">
          <x14:formula1>
            <xm:f>DATA!$B$11:$B$15</xm:f>
          </x14:formula1>
          <xm:sqref>G16:H17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B1:D15"/>
  <sheetViews>
    <sheetView workbookViewId="0">
      <selection activeCell="C12" sqref="C12"/>
    </sheetView>
  </sheetViews>
  <sheetFormatPr baseColWidth="10" defaultColWidth="11.42578125" defaultRowHeight="15" x14ac:dyDescent="0.25"/>
  <cols>
    <col min="2" max="4" width="30.7109375" customWidth="1"/>
  </cols>
  <sheetData>
    <row r="1" spans="2:4" ht="15.75" thickBot="1" x14ac:dyDescent="0.3"/>
    <row r="2" spans="2:4" ht="30" customHeight="1" thickBot="1" x14ac:dyDescent="0.3">
      <c r="B2" s="4" t="s">
        <v>18</v>
      </c>
      <c r="C2" s="3" t="s">
        <v>13</v>
      </c>
      <c r="D2" s="5" t="s">
        <v>19</v>
      </c>
    </row>
    <row r="3" spans="2:4" ht="30" customHeight="1" thickBot="1" x14ac:dyDescent="0.3">
      <c r="B3" s="190" t="s">
        <v>17</v>
      </c>
      <c r="C3" s="191"/>
      <c r="D3" s="192"/>
    </row>
    <row r="4" spans="2:4" ht="30" customHeight="1" thickBot="1" x14ac:dyDescent="0.3">
      <c r="B4" s="17" t="s">
        <v>23</v>
      </c>
      <c r="C4" s="19" t="s">
        <v>22</v>
      </c>
      <c r="D4" s="21" t="s">
        <v>24</v>
      </c>
    </row>
    <row r="5" spans="2:4" ht="30" customHeight="1" thickBot="1" x14ac:dyDescent="0.3">
      <c r="B5" s="6" t="s">
        <v>20</v>
      </c>
      <c r="C5" s="2" t="s">
        <v>20</v>
      </c>
      <c r="D5" s="7" t="s">
        <v>20</v>
      </c>
    </row>
    <row r="6" spans="2:4" ht="30" customHeight="1" thickBot="1" x14ac:dyDescent="0.3">
      <c r="B6" s="6" t="s">
        <v>20</v>
      </c>
      <c r="C6" s="2" t="s">
        <v>20</v>
      </c>
      <c r="D6" s="7" t="s">
        <v>20</v>
      </c>
    </row>
    <row r="7" spans="2:4" ht="30" customHeight="1" thickBot="1" x14ac:dyDescent="0.3">
      <c r="B7" s="6" t="s">
        <v>20</v>
      </c>
      <c r="C7" s="2" t="s">
        <v>20</v>
      </c>
      <c r="D7" s="7" t="s">
        <v>20</v>
      </c>
    </row>
    <row r="8" spans="2:4" ht="30" customHeight="1" thickBot="1" x14ac:dyDescent="0.3">
      <c r="B8" s="8" t="s">
        <v>20</v>
      </c>
      <c r="C8" s="9" t="s">
        <v>20</v>
      </c>
      <c r="D8" s="10" t="s">
        <v>20</v>
      </c>
    </row>
    <row r="9" spans="2:4" ht="30" customHeight="1" thickBot="1" x14ac:dyDescent="0.3">
      <c r="B9" s="4" t="s">
        <v>18</v>
      </c>
      <c r="C9" s="3" t="s">
        <v>13</v>
      </c>
      <c r="D9" s="5" t="s">
        <v>19</v>
      </c>
    </row>
    <row r="10" spans="2:4" ht="30" customHeight="1" thickBot="1" x14ac:dyDescent="0.3">
      <c r="B10" s="190" t="s">
        <v>17</v>
      </c>
      <c r="C10" s="191"/>
      <c r="D10" s="192"/>
    </row>
    <row r="11" spans="2:4" ht="30" customHeight="1" thickBot="1" x14ac:dyDescent="0.3">
      <c r="B11" s="18">
        <v>3.6111111111111109E-3</v>
      </c>
      <c r="C11" s="20">
        <v>2.8009259259259259E-3</v>
      </c>
      <c r="D11" s="22"/>
    </row>
    <row r="12" spans="2:4" ht="30" customHeight="1" thickBot="1" x14ac:dyDescent="0.3">
      <c r="B12" s="12" t="s">
        <v>20</v>
      </c>
      <c r="C12" s="11" t="s">
        <v>20</v>
      </c>
      <c r="D12" s="13" t="s">
        <v>20</v>
      </c>
    </row>
    <row r="13" spans="2:4" ht="30" customHeight="1" thickBot="1" x14ac:dyDescent="0.3">
      <c r="B13" s="12" t="s">
        <v>20</v>
      </c>
      <c r="C13" s="11" t="s">
        <v>20</v>
      </c>
      <c r="D13" s="13" t="s">
        <v>20</v>
      </c>
    </row>
    <row r="14" spans="2:4" ht="30" customHeight="1" thickBot="1" x14ac:dyDescent="0.3">
      <c r="B14" s="12" t="s">
        <v>20</v>
      </c>
      <c r="C14" s="11" t="s">
        <v>20</v>
      </c>
      <c r="D14" s="13" t="s">
        <v>20</v>
      </c>
    </row>
    <row r="15" spans="2:4" ht="30" customHeight="1" thickBot="1" x14ac:dyDescent="0.3">
      <c r="B15" s="14" t="s">
        <v>20</v>
      </c>
      <c r="C15" s="15" t="s">
        <v>20</v>
      </c>
      <c r="D15" s="16" t="s">
        <v>20</v>
      </c>
    </row>
  </sheetData>
  <mergeCells count="2">
    <mergeCell ref="B3:D3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2025-03-08T16:48:03Z</cp:lastPrinted>
  <dcterms:created xsi:type="dcterms:W3CDTF">2023-10-31T20:19:37Z</dcterms:created>
  <dcterms:modified xsi:type="dcterms:W3CDTF">2025-04-02T00:31:38Z</dcterms:modified>
  <dc:language>es-MX</dc:language>
</cp:coreProperties>
</file>