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03 TOP TIRANTE CON FORRO PARA COPAS\"/>
    </mc:Choice>
  </mc:AlternateContent>
  <xr:revisionPtr revIDLastSave="0" documentId="13_ncr:1_{CCE757BC-A3A2-4E45-9A20-37E2FC24BD97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Sheet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4" i="1" l="1"/>
  <c r="P14" i="1"/>
  <c r="N14" i="1"/>
  <c r="L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59D3C-D36F-46A5-B98E-CC6F9CABC5E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<sst xmlns="http://schemas.openxmlformats.org/spreadsheetml/2006/main" count="66" uniqueCount="41">
  <si>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</si>
  <si>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</si>
  <si>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</si>
  <si>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</si>
  <si>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</si>
  <si>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</si>
  <si>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</si>
  <si>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</si>
  <si>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</si>
  <si>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</si>
  <si>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</si>
  <si>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</si>
  <si>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</si>
  <si>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</si>
  <si>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</si>
  <si>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</si>
  <si>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</si>
  <si>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</si>
  <si>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</si>
  <si>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20/70/68</t>
  </si>
  <si>
    <t>TOP</t>
  </si>
  <si>
    <t>FORRO</t>
  </si>
  <si>
    <t>MEDIANA</t>
  </si>
  <si>
    <t>CHICA</t>
  </si>
  <si>
    <t>D003T38M</t>
  </si>
  <si>
    <t>TOP TIRANTE CON FORRO PARA COPAS                (2 FORROS POR CADA TOP)</t>
  </si>
  <si>
    <t>OBSERVACIONES</t>
  </si>
  <si>
    <t>D003T39X</t>
  </si>
  <si>
    <t>D003T28M</t>
  </si>
  <si>
    <t>D003T29M</t>
  </si>
  <si>
    <t>D003T36M</t>
  </si>
  <si>
    <t>D003T37M</t>
  </si>
  <si>
    <t>D003T35X</t>
  </si>
  <si>
    <t>D003T40X</t>
  </si>
  <si>
    <t>EXTRA</t>
  </si>
  <si>
    <t>TIEMPO VEL 70:</t>
  </si>
  <si>
    <t>No. de modelo Andrea:</t>
  </si>
  <si>
    <t>D003F30M</t>
  </si>
  <si>
    <t>D003F30X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</si>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</sst>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family val="2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b/>
      <sz val="12"/>
      <color theme="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theme="4" tint="-0.249977111117893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theme="3" tint="0.249977111117893"/>
      </bottom>
      <diagonal/>
    </border>
    <border>
      <left/>
      <right/>
      <top style="hair">
        <color indexed="64"/>
      </top>
      <bottom style="medium">
        <color theme="3" tint="0.249977111117893"/>
      </bottom>
      <diagonal/>
    </border>
    <border>
      <left/>
      <right style="medium">
        <color indexed="64"/>
      </right>
      <top style="hair">
        <color indexed="64"/>
      </top>
      <bottom style="medium">
        <color theme="3" tint="0.249977111117893"/>
      </bottom>
      <diagonal/>
    </border>
    <border>
      <left style="medium">
        <color auto="1"/>
      </left>
      <right/>
      <top style="medium">
        <color theme="3" tint="0.249977111117893"/>
      </top>
      <bottom style="medium">
        <color auto="1"/>
      </bottom>
      <diagonal/>
    </border>
    <border>
      <left/>
      <right/>
      <top style="medium">
        <color theme="3" tint="0.249977111117893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theme="3" tint="0.249977111117893"/>
      </bottom>
      <diagonal/>
    </border>
    <border>
      <left/>
      <right/>
      <top/>
      <bottom style="medium">
        <color theme="3" tint="0.249977111117893"/>
      </bottom>
      <diagonal/>
    </border>
    <border>
      <left/>
      <right style="medium">
        <color auto="1"/>
      </right>
      <top/>
      <bottom style="medium">
        <color theme="3" tint="0.249977111117893"/>
      </bottom>
      <diagonal/>
    </border>
  </borders>
  <cellStyleXfs count="4">
    <xf numFmtId="0" fontId="0" fillId="0" borderId="0"/>
    <xf numFmtId="0" fontId="15" fillId="0" borderId="0"/>
    <xf numFmtId="0" fontId="16" fillId="0" borderId="0"/>
    <xf numFmtId="9" fontId="22" fillId="0" borderId="0" applyFon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0" xfId="0" applyFont="1" applyFill="1" applyBorder="1"/>
    <xf numFmtId="0" fontId="4" fillId="2" borderId="22" xfId="0" applyFont="1" applyFill="1" applyBorder="1"/>
    <xf numFmtId="0" fontId="8" fillId="2" borderId="0" xfId="0" applyFont="1" applyFill="1" applyAlignment="1">
      <alignment vertical="center" wrapText="1"/>
    </xf>
    <xf numFmtId="0" fontId="24" fillId="7" borderId="10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49" fontId="21" fillId="4" borderId="27" xfId="0" applyNumberFormat="1" applyFont="1" applyFill="1" applyBorder="1" applyAlignment="1">
      <alignment horizontal="center" vertical="center" wrapText="1"/>
    </xf>
    <xf numFmtId="49" fontId="21" fillId="4" borderId="30" xfId="0" applyNumberFormat="1" applyFont="1" applyFill="1" applyBorder="1" applyAlignment="1">
      <alignment horizontal="center" vertical="center" wrapText="1"/>
    </xf>
    <xf numFmtId="49" fontId="21" fillId="4" borderId="24" xfId="0" applyNumberFormat="1" applyFont="1" applyFill="1" applyBorder="1" applyAlignment="1">
      <alignment horizontal="center" vertical="center" wrapText="1"/>
    </xf>
    <xf numFmtId="49" fontId="21" fillId="4" borderId="29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43" xfId="0" applyFont="1" applyFill="1" applyBorder="1" applyAlignment="1">
      <alignment horizontal="center" vertical="center" wrapText="1"/>
    </xf>
    <xf numFmtId="0" fontId="14" fillId="5" borderId="44" xfId="0" applyFont="1" applyFill="1" applyBorder="1" applyAlignment="1">
      <alignment horizontal="center" vertical="center" wrapText="1"/>
    </xf>
    <xf numFmtId="0" fontId="14" fillId="5" borderId="45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19" fillId="6" borderId="21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9" fontId="20" fillId="6" borderId="12" xfId="3" applyFont="1" applyFill="1" applyBorder="1" applyAlignment="1" applyProtection="1">
      <alignment horizontal="center" vertical="center" wrapText="1"/>
    </xf>
    <xf numFmtId="9" fontId="20" fillId="6" borderId="17" xfId="3" applyFont="1" applyFill="1" applyBorder="1" applyAlignment="1" applyProtection="1">
      <alignment horizontal="center" vertical="center" wrapText="1"/>
    </xf>
    <xf numFmtId="9" fontId="20" fillId="6" borderId="13" xfId="3" applyFont="1" applyFill="1" applyBorder="1" applyAlignment="1" applyProtection="1">
      <alignment horizontal="center" vertical="center" wrapText="1"/>
    </xf>
    <xf numFmtId="9" fontId="20" fillId="6" borderId="18" xfId="3" applyFont="1" applyFill="1" applyBorder="1" applyAlignment="1" applyProtection="1">
      <alignment horizontal="center" vertical="center" wrapText="1"/>
    </xf>
    <xf numFmtId="9" fontId="20" fillId="6" borderId="20" xfId="3" applyFont="1" applyFill="1" applyBorder="1" applyAlignment="1" applyProtection="1">
      <alignment horizontal="center" vertical="center" wrapText="1"/>
    </xf>
    <xf numFmtId="9" fontId="20" fillId="6" borderId="21" xfId="3" applyFont="1" applyFill="1" applyBorder="1" applyAlignment="1" applyProtection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8" borderId="14" xfId="0" applyNumberFormat="1" applyFont="1" applyFill="1" applyBorder="1" applyAlignment="1">
      <alignment horizontal="center" vertical="center" wrapText="1"/>
    </xf>
    <xf numFmtId="45" fontId="7" fillId="8" borderId="15" xfId="0" applyNumberFormat="1" applyFont="1" applyFill="1" applyBorder="1" applyAlignment="1">
      <alignment horizontal="center" vertical="center" wrapText="1"/>
    </xf>
    <xf numFmtId="46" fontId="9" fillId="8" borderId="7" xfId="0" applyNumberFormat="1" applyFont="1" applyFill="1" applyBorder="1" applyAlignment="1">
      <alignment horizontal="center" vertical="center" wrapText="1"/>
    </xf>
    <xf numFmtId="46" fontId="9" fillId="8" borderId="10" xfId="0" applyNumberFormat="1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 wrapText="1"/>
    </xf>
    <xf numFmtId="0" fontId="25" fillId="9" borderId="15" xfId="0" applyFont="1" applyFill="1" applyBorder="1" applyAlignment="1">
      <alignment horizontal="center" vertical="center" wrapText="1"/>
    </xf>
    <xf numFmtId="0" fontId="25" fillId="9" borderId="10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 wrapText="1"/>
    </xf>
    <xf numFmtId="0" fontId="25" fillId="9" borderId="18" xfId="0" applyFont="1" applyFill="1" applyBorder="1" applyAlignment="1">
      <alignment horizontal="center" vertical="center" wrapText="1"/>
    </xf>
    <xf numFmtId="46" fontId="9" fillId="8" borderId="17" xfId="0" applyNumberFormat="1" applyFont="1" applyFill="1" applyBorder="1" applyAlignment="1">
      <alignment horizontal="center" vertical="center" wrapText="1"/>
    </xf>
    <xf numFmtId="46" fontId="9" fillId="8" borderId="18" xfId="0" applyNumberFormat="1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23" fillId="7" borderId="40" xfId="0" applyFon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73272</xdr:colOff>
      <xdr:row>8</xdr:row>
      <xdr:rowOff>3339</xdr:rowOff>
    </xdr:from>
    <xdr:to>
      <xdr:col>3</xdr:col>
      <xdr:colOff>410309</xdr:colOff>
      <xdr:row>18</xdr:row>
      <xdr:rowOff>183176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B42003-6474-41A7-940F-10D9131F0D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44" b="6374"/>
        <a:stretch/>
      </xdr:blipFill>
      <xdr:spPr bwMode="auto">
        <a:xfrm>
          <a:off x="146541" y="1300204"/>
          <a:ext cx="1487364" cy="2158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9"/>
  <sheetViews>
    <sheetView showGridLines="0" tabSelected="1" zoomScale="115" zoomScaleNormal="115" workbookViewId="0">
      <selection activeCell="H25" sqref="H25:L2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6.7109375" customWidth="1"/>
    <col min="5" max="5" width="1.140625" customWidth="1"/>
    <col min="6" max="6" width="6.140625" customWidth="1"/>
    <col min="7" max="7" width="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77" t="s">
        <v>1</v>
      </c>
      <c r="C2" s="77"/>
      <c r="D2" s="77"/>
      <c r="E2" s="1"/>
      <c r="F2" s="83" t="s">
        <v>2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5"/>
    </row>
    <row r="3" spans="1:19" ht="9" customHeight="1" x14ac:dyDescent="0.25">
      <c r="B3" s="78"/>
      <c r="C3" s="78"/>
      <c r="D3" s="78"/>
      <c r="E3" s="2"/>
      <c r="F3" s="86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8"/>
    </row>
    <row r="4" spans="1:19" ht="12.95" customHeight="1" x14ac:dyDescent="0.25">
      <c r="B4" s="113"/>
      <c r="C4" s="9"/>
      <c r="D4" s="8"/>
      <c r="E4" s="2"/>
      <c r="F4" s="80" t="s">
        <v>25</v>
      </c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2"/>
    </row>
    <row r="5" spans="1:19" ht="12.95" customHeight="1" x14ac:dyDescent="0.25">
      <c r="B5" s="113"/>
      <c r="C5" s="9"/>
      <c r="D5" s="8"/>
      <c r="E5" s="3"/>
      <c r="F5" s="80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2"/>
    </row>
    <row r="6" spans="1:19" ht="20.25" customHeight="1" x14ac:dyDescent="0.25">
      <c r="B6" s="113"/>
      <c r="C6" s="9"/>
      <c r="D6" s="8"/>
      <c r="E6" s="3"/>
      <c r="F6" s="80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2"/>
    </row>
    <row r="7" spans="1:19" ht="4.5" customHeight="1" thickBot="1" x14ac:dyDescent="0.3">
      <c r="B7" s="113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113"/>
      <c r="C8" s="9"/>
      <c r="D8" s="8"/>
      <c r="E8" s="3"/>
      <c r="F8" s="79" t="s">
        <v>4</v>
      </c>
      <c r="G8" s="79"/>
      <c r="H8" s="89" t="s">
        <v>23</v>
      </c>
      <c r="I8" s="90"/>
      <c r="J8" s="90"/>
      <c r="K8" s="109"/>
      <c r="L8" s="89" t="s">
        <v>22</v>
      </c>
      <c r="M8" s="90"/>
      <c r="N8" s="90"/>
      <c r="O8" s="109"/>
      <c r="P8" s="89" t="s">
        <v>34</v>
      </c>
      <c r="Q8" s="90"/>
      <c r="R8" s="90"/>
      <c r="S8" s="91"/>
    </row>
    <row r="9" spans="1:19" ht="15.95" customHeight="1" thickBot="1" x14ac:dyDescent="0.3">
      <c r="B9" s="113"/>
      <c r="D9" s="8"/>
      <c r="E9" s="3"/>
      <c r="F9" s="79"/>
      <c r="G9" s="79"/>
      <c r="H9" s="92"/>
      <c r="I9" s="93"/>
      <c r="J9" s="93"/>
      <c r="K9" s="110"/>
      <c r="L9" s="92"/>
      <c r="M9" s="93"/>
      <c r="N9" s="93"/>
      <c r="O9" s="110"/>
      <c r="P9" s="92"/>
      <c r="Q9" s="93"/>
      <c r="R9" s="93"/>
      <c r="S9" s="94"/>
    </row>
    <row r="10" spans="1:19" ht="15.95" customHeight="1" thickBot="1" x14ac:dyDescent="0.3">
      <c r="B10" s="113"/>
      <c r="C10" s="9"/>
      <c r="D10" s="8"/>
      <c r="E10" s="3"/>
      <c r="F10" s="79" t="s">
        <v>3</v>
      </c>
      <c r="G10" s="79"/>
      <c r="H10" s="95" t="s">
        <v>20</v>
      </c>
      <c r="I10" s="96"/>
      <c r="J10" s="131" t="s">
        <v>21</v>
      </c>
      <c r="K10" s="96"/>
      <c r="L10" s="95" t="s">
        <v>20</v>
      </c>
      <c r="M10" s="96"/>
      <c r="N10" s="99" t="s">
        <v>21</v>
      </c>
      <c r="O10" s="111"/>
      <c r="P10" s="95" t="s">
        <v>20</v>
      </c>
      <c r="Q10" s="96"/>
      <c r="R10" s="99" t="s">
        <v>21</v>
      </c>
      <c r="S10" s="100"/>
    </row>
    <row r="11" spans="1:19" ht="15.95" customHeight="1" thickBot="1" x14ac:dyDescent="0.3">
      <c r="B11" s="113"/>
      <c r="C11" s="9"/>
      <c r="D11" s="8"/>
      <c r="E11" s="3"/>
      <c r="F11" s="79"/>
      <c r="G11" s="79"/>
      <c r="H11" s="97"/>
      <c r="I11" s="98"/>
      <c r="J11" s="132"/>
      <c r="K11" s="98"/>
      <c r="L11" s="97"/>
      <c r="M11" s="98"/>
      <c r="N11" s="101"/>
      <c r="O11" s="112"/>
      <c r="P11" s="97"/>
      <c r="Q11" s="98"/>
      <c r="R11" s="101"/>
      <c r="S11" s="102"/>
    </row>
    <row r="12" spans="1:19" ht="15.95" customHeight="1" thickBot="1" x14ac:dyDescent="0.3">
      <c r="B12" s="113"/>
      <c r="C12" s="115"/>
      <c r="D12" s="116"/>
      <c r="E12" s="3"/>
      <c r="F12" s="79" t="s">
        <v>5</v>
      </c>
      <c r="G12" s="79"/>
      <c r="H12" s="103"/>
      <c r="I12" s="104"/>
      <c r="J12" s="127"/>
      <c r="K12" s="128"/>
      <c r="L12" s="133" t="s">
        <v>30</v>
      </c>
      <c r="M12" s="128"/>
      <c r="N12" s="105" t="s">
        <v>37</v>
      </c>
      <c r="O12" s="135"/>
      <c r="P12" s="103" t="s">
        <v>27</v>
      </c>
      <c r="Q12" s="104"/>
      <c r="R12" s="105" t="s">
        <v>38</v>
      </c>
      <c r="S12" s="106"/>
    </row>
    <row r="13" spans="1:19" ht="15.95" customHeight="1" thickBot="1" x14ac:dyDescent="0.3">
      <c r="B13" s="113"/>
      <c r="C13" s="115"/>
      <c r="D13" s="116"/>
      <c r="E13" s="3"/>
      <c r="F13" s="79"/>
      <c r="G13" s="79"/>
      <c r="H13" s="103"/>
      <c r="I13" s="104"/>
      <c r="J13" s="129"/>
      <c r="K13" s="130"/>
      <c r="L13" s="134"/>
      <c r="M13" s="130"/>
      <c r="N13" s="107"/>
      <c r="O13" s="136"/>
      <c r="P13" s="103"/>
      <c r="Q13" s="104"/>
      <c r="R13" s="107"/>
      <c r="S13" s="108"/>
    </row>
    <row r="14" spans="1:19" ht="15.95" customHeight="1" thickBot="1" x14ac:dyDescent="0.3">
      <c r="B14" s="113"/>
      <c r="C14" s="115"/>
      <c r="D14" s="116"/>
      <c r="E14" s="3"/>
      <c r="F14" s="79" t="s">
        <v>39</v>
      </c>
      <c r="G14" s="79"/>
      <c r="H14" s="56"/>
      <c r="I14" s="57" t="s">
        <v>6</v>
      </c>
      <c r="J14" s="123"/>
      <c r="K14" s="125" t="s">
        <v>6</v>
      </c>
      <c r="L14" s="56">
        <f>72*110%</f>
        <v>79.2</v>
      </c>
      <c r="M14" s="57" t="s">
        <v>6</v>
      </c>
      <c r="N14" s="58">
        <f>61*110%</f>
        <v>67.100000000000009</v>
      </c>
      <c r="O14" s="139" t="s">
        <v>6</v>
      </c>
      <c r="P14" s="56">
        <f>77*110%</f>
        <v>84.7</v>
      </c>
      <c r="Q14" s="57" t="s">
        <v>6</v>
      </c>
      <c r="R14" s="58">
        <f>65*110%</f>
        <v>71.5</v>
      </c>
      <c r="S14" s="60" t="s">
        <v>6</v>
      </c>
    </row>
    <row r="15" spans="1:19" ht="15.95" customHeight="1" thickBot="1" x14ac:dyDescent="0.3">
      <c r="B15" s="113"/>
      <c r="C15" s="115"/>
      <c r="D15" s="116"/>
      <c r="E15" s="3"/>
      <c r="F15" s="79"/>
      <c r="G15" s="79"/>
      <c r="H15" s="56"/>
      <c r="I15" s="57"/>
      <c r="J15" s="124"/>
      <c r="K15" s="126"/>
      <c r="L15" s="56"/>
      <c r="M15" s="57"/>
      <c r="N15" s="59"/>
      <c r="O15" s="140"/>
      <c r="P15" s="56"/>
      <c r="Q15" s="57"/>
      <c r="R15" s="59"/>
      <c r="S15" s="61"/>
    </row>
    <row r="16" spans="1:19" ht="15.95" customHeight="1" thickBot="1" x14ac:dyDescent="0.3">
      <c r="B16" s="113"/>
      <c r="C16" s="115"/>
      <c r="D16" s="116"/>
      <c r="E16" s="3"/>
      <c r="F16" s="79" t="s">
        <v>7</v>
      </c>
      <c r="G16" s="79"/>
      <c r="H16" s="62"/>
      <c r="I16" s="63" t="s">
        <v>8</v>
      </c>
      <c r="J16" s="121"/>
      <c r="K16" s="119" t="s">
        <v>8</v>
      </c>
      <c r="L16" s="62">
        <v>1.4583333333333334E-3</v>
      </c>
      <c r="M16" s="63" t="s">
        <v>8</v>
      </c>
      <c r="N16" s="64">
        <v>1.0300925925925926E-3</v>
      </c>
      <c r="O16" s="137" t="s">
        <v>8</v>
      </c>
      <c r="P16" s="62">
        <v>1.5393518518518519E-3</v>
      </c>
      <c r="Q16" s="63" t="s">
        <v>8</v>
      </c>
      <c r="R16" s="64">
        <v>1.1111111111111111E-3</v>
      </c>
      <c r="S16" s="66" t="s">
        <v>8</v>
      </c>
    </row>
    <row r="17" spans="2:19" ht="15.95" customHeight="1" thickBot="1" x14ac:dyDescent="0.3">
      <c r="B17" s="113"/>
      <c r="C17" s="115"/>
      <c r="D17" s="116"/>
      <c r="E17" s="3"/>
      <c r="F17" s="79"/>
      <c r="G17" s="79"/>
      <c r="H17" s="62"/>
      <c r="I17" s="63"/>
      <c r="J17" s="122"/>
      <c r="K17" s="120"/>
      <c r="L17" s="62"/>
      <c r="M17" s="63"/>
      <c r="N17" s="65"/>
      <c r="O17" s="138"/>
      <c r="P17" s="62"/>
      <c r="Q17" s="63"/>
      <c r="R17" s="65"/>
      <c r="S17" s="67"/>
    </row>
    <row r="18" spans="2:19" ht="15.95" customHeight="1" thickBot="1" x14ac:dyDescent="0.3">
      <c r="B18" s="113"/>
      <c r="C18" s="115"/>
      <c r="D18" s="116"/>
      <c r="E18" s="3"/>
      <c r="F18" s="79" t="s">
        <v>35</v>
      </c>
      <c r="G18" s="79"/>
      <c r="H18" s="62"/>
      <c r="I18" s="63" t="s">
        <v>8</v>
      </c>
      <c r="J18" s="121"/>
      <c r="K18" s="119" t="s">
        <v>8</v>
      </c>
      <c r="L18" s="62">
        <v>1.9444444444444444E-3</v>
      </c>
      <c r="M18" s="63" t="s">
        <v>8</v>
      </c>
      <c r="N18" s="64">
        <v>1.4004629629629629E-3</v>
      </c>
      <c r="O18" s="137" t="s">
        <v>8</v>
      </c>
      <c r="P18" s="62">
        <v>2.0717592592592593E-3</v>
      </c>
      <c r="Q18" s="63" t="s">
        <v>8</v>
      </c>
      <c r="R18" s="64">
        <v>1.4930555555555556E-3</v>
      </c>
      <c r="S18" s="66" t="s">
        <v>8</v>
      </c>
    </row>
    <row r="19" spans="2:19" ht="15.95" customHeight="1" thickBot="1" x14ac:dyDescent="0.3">
      <c r="B19" s="114"/>
      <c r="C19" s="117"/>
      <c r="D19" s="118"/>
      <c r="E19" s="3"/>
      <c r="F19" s="79"/>
      <c r="G19" s="79"/>
      <c r="H19" s="62"/>
      <c r="I19" s="63"/>
      <c r="J19" s="122"/>
      <c r="K19" s="120"/>
      <c r="L19" s="62"/>
      <c r="M19" s="63"/>
      <c r="N19" s="65"/>
      <c r="O19" s="138"/>
      <c r="P19" s="62"/>
      <c r="Q19" s="63"/>
      <c r="R19" s="65"/>
      <c r="S19" s="67"/>
    </row>
    <row r="20" spans="2:19" ht="8.25" customHeight="1" thickBot="1" x14ac:dyDescent="0.3"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6"/>
      <c r="O20" s="5"/>
      <c r="P20" s="4"/>
      <c r="Q20" s="4"/>
      <c r="R20" s="6"/>
      <c r="S20" s="5"/>
    </row>
    <row r="21" spans="2:19" ht="21.95" customHeight="1" thickBot="1" x14ac:dyDescent="0.3">
      <c r="B21" s="77" t="s">
        <v>26</v>
      </c>
      <c r="C21" s="143"/>
      <c r="D21" s="143"/>
      <c r="F21" s="30" t="s">
        <v>9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2"/>
    </row>
    <row r="22" spans="2:19" ht="4.5" customHeight="1" thickBot="1" x14ac:dyDescent="0.3">
      <c r="B22" s="144"/>
      <c r="C22" s="144"/>
      <c r="D22" s="144"/>
      <c r="F22" s="33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5"/>
    </row>
    <row r="23" spans="2:19" ht="15.95" customHeight="1" thickBot="1" x14ac:dyDescent="0.3">
      <c r="B23" s="145"/>
      <c r="C23" s="146"/>
      <c r="D23" s="147"/>
      <c r="F23" s="36" t="s">
        <v>14</v>
      </c>
      <c r="G23" s="37"/>
      <c r="H23" s="70" t="s">
        <v>10</v>
      </c>
      <c r="I23" s="70"/>
      <c r="J23" s="70"/>
      <c r="K23" s="70"/>
      <c r="L23" s="71"/>
      <c r="M23" s="68" t="s">
        <v>16</v>
      </c>
      <c r="N23" s="68"/>
      <c r="O23" s="14" t="s">
        <v>11</v>
      </c>
      <c r="P23" s="14"/>
      <c r="Q23" s="14"/>
      <c r="R23" s="14"/>
      <c r="S23" s="15"/>
    </row>
    <row r="24" spans="2:19" ht="15.95" customHeight="1" thickBot="1" x14ac:dyDescent="0.3">
      <c r="B24" s="148"/>
      <c r="C24" s="149"/>
      <c r="D24" s="150"/>
      <c r="F24" s="38"/>
      <c r="G24" s="39"/>
      <c r="H24" s="72"/>
      <c r="I24" s="72"/>
      <c r="J24" s="72"/>
      <c r="K24" s="72"/>
      <c r="L24" s="73"/>
      <c r="M24" s="69"/>
      <c r="N24" s="69"/>
      <c r="O24" s="16"/>
      <c r="P24" s="16"/>
      <c r="Q24" s="16"/>
      <c r="R24" s="16"/>
      <c r="S24" s="17"/>
    </row>
    <row r="25" spans="2:19" ht="15.95" customHeight="1" x14ac:dyDescent="0.25">
      <c r="B25" s="148"/>
      <c r="C25" s="149"/>
      <c r="D25" s="150"/>
      <c r="F25" s="40">
        <v>0.53</v>
      </c>
      <c r="G25" s="41"/>
      <c r="H25" s="74" t="s">
        <v>40</v>
      </c>
      <c r="I25" s="74"/>
      <c r="J25" s="74"/>
      <c r="K25" s="74"/>
      <c r="L25" s="75"/>
      <c r="M25" s="18">
        <v>2</v>
      </c>
      <c r="N25" s="18"/>
      <c r="O25" s="18" t="s">
        <v>12</v>
      </c>
      <c r="P25" s="18"/>
      <c r="Q25" s="18"/>
      <c r="R25" s="18"/>
      <c r="S25" s="19"/>
    </row>
    <row r="26" spans="2:19" ht="15.95" customHeight="1" thickBot="1" x14ac:dyDescent="0.3">
      <c r="B26" s="148"/>
      <c r="C26" s="149"/>
      <c r="D26" s="150"/>
      <c r="F26" s="42"/>
      <c r="G26" s="43"/>
      <c r="H26" s="55" t="s">
        <v>19</v>
      </c>
      <c r="I26" s="55"/>
      <c r="J26" s="55"/>
      <c r="K26" s="55"/>
      <c r="L26" s="54"/>
      <c r="M26" s="20"/>
      <c r="N26" s="20"/>
      <c r="O26" s="20"/>
      <c r="P26" s="20"/>
      <c r="Q26" s="20"/>
      <c r="R26" s="20"/>
      <c r="S26" s="21"/>
    </row>
    <row r="27" spans="2:19" ht="15.95" customHeight="1" x14ac:dyDescent="0.25">
      <c r="B27" s="148"/>
      <c r="C27" s="149"/>
      <c r="D27" s="150"/>
      <c r="F27" s="40">
        <v>0.01</v>
      </c>
      <c r="G27" s="41"/>
      <c r="H27" s="74" t="s">
        <v>17</v>
      </c>
      <c r="I27" s="74"/>
      <c r="J27" s="74"/>
      <c r="K27" s="74"/>
      <c r="L27" s="75"/>
      <c r="M27" s="76">
        <v>3</v>
      </c>
      <c r="N27" s="75"/>
      <c r="O27" s="22" t="s">
        <v>18</v>
      </c>
      <c r="P27" s="22"/>
      <c r="Q27" s="22"/>
      <c r="R27" s="22"/>
      <c r="S27" s="23"/>
    </row>
    <row r="28" spans="2:19" ht="15.95" customHeight="1" thickBot="1" x14ac:dyDescent="0.3">
      <c r="B28" s="148"/>
      <c r="C28" s="149"/>
      <c r="D28" s="150"/>
      <c r="F28" s="42"/>
      <c r="G28" s="43"/>
      <c r="H28" s="55">
        <v>40</v>
      </c>
      <c r="I28" s="55"/>
      <c r="J28" s="55"/>
      <c r="K28" s="55"/>
      <c r="L28" s="54"/>
      <c r="M28" s="53"/>
      <c r="N28" s="54"/>
      <c r="O28" s="24"/>
      <c r="P28" s="24"/>
      <c r="Q28" s="24"/>
      <c r="R28" s="24"/>
      <c r="S28" s="25"/>
    </row>
    <row r="29" spans="2:19" ht="15.95" customHeight="1" x14ac:dyDescent="0.25">
      <c r="B29" s="148"/>
      <c r="C29" s="149"/>
      <c r="D29" s="150"/>
      <c r="F29" s="44">
        <v>0.46</v>
      </c>
      <c r="G29" s="45"/>
      <c r="H29" s="50" t="s">
        <v>13</v>
      </c>
      <c r="I29" s="50"/>
      <c r="J29" s="50"/>
      <c r="K29" s="50"/>
      <c r="L29" s="51"/>
      <c r="M29" s="52">
        <v>6</v>
      </c>
      <c r="N29" s="51"/>
      <c r="O29" s="26" t="s">
        <v>12</v>
      </c>
      <c r="P29" s="26"/>
      <c r="Q29" s="26"/>
      <c r="R29" s="26"/>
      <c r="S29" s="27"/>
    </row>
    <row r="30" spans="2:19" ht="15.95" customHeight="1" thickBot="1" x14ac:dyDescent="0.3">
      <c r="B30" s="148"/>
      <c r="C30" s="149"/>
      <c r="D30" s="150"/>
      <c r="F30" s="42"/>
      <c r="G30" s="43"/>
      <c r="H30" s="55" t="s">
        <v>15</v>
      </c>
      <c r="I30" s="55"/>
      <c r="J30" s="55"/>
      <c r="K30" s="55"/>
      <c r="L30" s="54"/>
      <c r="M30" s="53"/>
      <c r="N30" s="54"/>
      <c r="O30" s="28"/>
      <c r="P30" s="28"/>
      <c r="Q30" s="28"/>
      <c r="R30" s="28"/>
      <c r="S30" s="29"/>
    </row>
    <row r="31" spans="2:19" ht="15.95" customHeight="1" thickBot="1" x14ac:dyDescent="0.3">
      <c r="B31" s="151"/>
      <c r="C31" s="152"/>
      <c r="D31" s="153"/>
      <c r="F31" s="46"/>
      <c r="G31" s="47"/>
      <c r="H31" s="50"/>
      <c r="I31" s="50"/>
      <c r="J31" s="50"/>
      <c r="K31" s="50"/>
      <c r="L31" s="51"/>
      <c r="M31" s="52"/>
      <c r="N31" s="51"/>
      <c r="O31" s="26"/>
      <c r="P31" s="26"/>
      <c r="Q31" s="26"/>
      <c r="R31" s="26"/>
      <c r="S31" s="27"/>
    </row>
    <row r="32" spans="2:19" ht="15.95" customHeight="1" thickBot="1" x14ac:dyDescent="0.3">
      <c r="B32" s="141" t="s">
        <v>36</v>
      </c>
      <c r="C32" s="142"/>
      <c r="D32" s="13">
        <v>43573</v>
      </c>
      <c r="F32" s="48"/>
      <c r="G32" s="49"/>
      <c r="H32" s="55"/>
      <c r="I32" s="55"/>
      <c r="J32" s="55"/>
      <c r="K32" s="55"/>
      <c r="L32" s="54"/>
      <c r="M32" s="53"/>
      <c r="N32" s="54"/>
      <c r="O32" s="28"/>
      <c r="P32" s="28"/>
      <c r="Q32" s="28"/>
      <c r="R32" s="28"/>
      <c r="S32" s="2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</sheetData>
  <dataConsolidate/>
  <mergeCells count="98">
    <mergeCell ref="B32:C32"/>
    <mergeCell ref="B21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M18:M19"/>
    <mergeCell ref="L12:M13"/>
    <mergeCell ref="N12:O13"/>
    <mergeCell ref="O18:O19"/>
    <mergeCell ref="L16:L17"/>
    <mergeCell ref="M16:M17"/>
    <mergeCell ref="N16:N17"/>
    <mergeCell ref="O14:O15"/>
    <mergeCell ref="L14:L15"/>
    <mergeCell ref="M14:M15"/>
    <mergeCell ref="N14:N15"/>
    <mergeCell ref="N18:N19"/>
    <mergeCell ref="L18:L19"/>
    <mergeCell ref="O16:O17"/>
    <mergeCell ref="K16:K17"/>
    <mergeCell ref="F18:G19"/>
    <mergeCell ref="H8:K9"/>
    <mergeCell ref="H10:I11"/>
    <mergeCell ref="J10:K11"/>
    <mergeCell ref="H14:H15"/>
    <mergeCell ref="I14:I15"/>
    <mergeCell ref="H12:I13"/>
    <mergeCell ref="L8:O9"/>
    <mergeCell ref="L10:M11"/>
    <mergeCell ref="N10:O11"/>
    <mergeCell ref="B4:B19"/>
    <mergeCell ref="C12:D19"/>
    <mergeCell ref="K18:K19"/>
    <mergeCell ref="H18:H19"/>
    <mergeCell ref="I18:I19"/>
    <mergeCell ref="J18:J19"/>
    <mergeCell ref="J14:J15"/>
    <mergeCell ref="K14:K15"/>
    <mergeCell ref="J12:K13"/>
    <mergeCell ref="F16:G17"/>
    <mergeCell ref="H16:H17"/>
    <mergeCell ref="I16:I17"/>
    <mergeCell ref="J16:J17"/>
    <mergeCell ref="H27:L27"/>
    <mergeCell ref="H30:L30"/>
    <mergeCell ref="H28:L28"/>
    <mergeCell ref="H29:L29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P14:P15"/>
    <mergeCell ref="Q14:Q15"/>
    <mergeCell ref="R14:R15"/>
    <mergeCell ref="S14:S15"/>
    <mergeCell ref="P18:P19"/>
    <mergeCell ref="Q18:Q19"/>
    <mergeCell ref="R18:R19"/>
    <mergeCell ref="S18:S19"/>
    <mergeCell ref="P16:P17"/>
    <mergeCell ref="Q16:Q17"/>
    <mergeCell ref="R16:R17"/>
    <mergeCell ref="S16:S17"/>
    <mergeCell ref="F31:G32"/>
    <mergeCell ref="H31:L31"/>
    <mergeCell ref="M31:N32"/>
    <mergeCell ref="O31:S32"/>
    <mergeCell ref="H32:L32"/>
    <mergeCell ref="O23:S24"/>
    <mergeCell ref="O25:S26"/>
    <mergeCell ref="O27:S28"/>
    <mergeCell ref="O29:S30"/>
    <mergeCell ref="F21:S22"/>
    <mergeCell ref="F23:G24"/>
    <mergeCell ref="F25:G26"/>
    <mergeCell ref="F27:G28"/>
    <mergeCell ref="F29:G30"/>
    <mergeCell ref="M29:N30"/>
    <mergeCell ref="M25:N26"/>
    <mergeCell ref="M23:N24"/>
    <mergeCell ref="H23:L24"/>
    <mergeCell ref="H25:L25"/>
    <mergeCell ref="H26:L26"/>
    <mergeCell ref="M27:N28"/>
  </mergeCells>
  <printOptions horizont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A087411-88BC-4F5C-B151-8DC46B5665D9}">
          <x14:formula1>
            <xm:f>Sheet1!$B$2:$B$6</xm:f>
          </x14:formula1>
          <xm:sqref>L12:M13</xm:sqref>
        </x14:dataValidation>
        <x14:dataValidation type="list" allowBlank="1" showInputMessage="1" showErrorMessage="1" xr:uid="{D92E1A3E-192D-46D0-963A-0C5330AFBF94}">
          <x14:formula1>
            <xm:f>Sheet1!$C$2:$C$6</xm:f>
          </x14:formula1>
          <xm:sqref>N12:O13</xm:sqref>
        </x14:dataValidation>
        <x14:dataValidation type="list" allowBlank="1" showInputMessage="1" showErrorMessage="1" xr:uid="{35A3A610-E189-426E-B2B8-DFE0F5414D94}">
          <x14:formula1>
            <xm:f>Sheet1!$D$2:$D$4</xm:f>
          </x14:formula1>
          <xm:sqref>P12:Q13</xm:sqref>
        </x14:dataValidation>
        <x14:dataValidation type="list" allowBlank="1" showInputMessage="1" showErrorMessage="1" xr:uid="{C46C41D0-1DF7-405E-940D-C3A36280DAA4}">
          <x14:formula1>
            <xm:f>Sheet1!$E$2:$E$4</xm:f>
          </x14:formula1>
          <xm:sqref>R12:S13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B490-0CDC-4DE7-8CEC-5609163B1D41}">
  <dimension ref="B2:E6"/>
  <sheetViews>
    <sheetView showGridLines="0" workbookViewId="0">
      <selection activeCell="E4" sqref="E4"/>
    </sheetView>
  </sheetViews>
  <sheetFormatPr baseColWidth="10" defaultColWidth="9.140625" defaultRowHeight="15" x14ac:dyDescent="0.25"/>
  <cols>
    <col min="2" max="5" width="17.7109375" customWidth="1"/>
  </cols>
  <sheetData>
    <row r="2" spans="2:5" ht="15.75" customHeight="1" x14ac:dyDescent="0.25">
      <c r="B2" s="12" t="s">
        <v>28</v>
      </c>
      <c r="C2" s="12" t="s">
        <v>37</v>
      </c>
      <c r="D2" s="12" t="s">
        <v>32</v>
      </c>
      <c r="E2" s="12" t="s">
        <v>38</v>
      </c>
    </row>
    <row r="3" spans="2:5" ht="15.75" customHeight="1" x14ac:dyDescent="0.25">
      <c r="B3" s="12" t="s">
        <v>29</v>
      </c>
      <c r="C3" s="12"/>
      <c r="D3" s="12" t="s">
        <v>27</v>
      </c>
      <c r="E3" s="12"/>
    </row>
    <row r="4" spans="2:5" ht="15.75" x14ac:dyDescent="0.25">
      <c r="B4" s="12" t="s">
        <v>30</v>
      </c>
      <c r="C4" s="12"/>
      <c r="D4" s="12" t="s">
        <v>33</v>
      </c>
      <c r="E4" s="12"/>
    </row>
    <row r="5" spans="2:5" ht="15.75" x14ac:dyDescent="0.25">
      <c r="B5" s="12" t="s">
        <v>31</v>
      </c>
      <c r="C5" s="12"/>
      <c r="D5" s="12"/>
      <c r="E5" s="12"/>
    </row>
    <row r="6" spans="2:5" ht="15.75" x14ac:dyDescent="0.25">
      <c r="B6" s="12" t="s">
        <v>24</v>
      </c>
      <c r="C6" s="12"/>
      <c r="D6" s="12"/>
      <c r="E6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EC7EB-72B9-450D-8F0E-BCC49175D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2024-12-17T15:15:39Z</cp:lastPrinted>
  <dcterms:created xsi:type="dcterms:W3CDTF">2023-10-31T20:19:37Z</dcterms:created>
  <dcterms:modified xsi:type="dcterms:W3CDTF">2025-04-02T00:35:28Z</dcterms:modified>
  <dc:language>es-MX</dc:language>
</cp:coreProperties>
</file>